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/>
  <workbookPr hidePivotFieldList="1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143489f4470a335/Documents/College/2022 BYUI/03 Fall/CIT381/Week02/"/>
    </mc:Choice>
  </mc:AlternateContent>
  <xr:revisionPtr revIDLastSave="701" documentId="8_{2ED4C304-6238-7C4E-A676-D177D4C77749}" xr6:coauthVersionLast="47" xr6:coauthVersionMax="47" xr10:uidLastSave="{49DBFFBA-FC25-4829-B5D0-0889429C0A66}"/>
  <bookViews>
    <workbookView xWindow="-110" yWindow="-110" windowWidth="24220" windowHeight="15500" activeTab="2" xr2:uid="{00000000-000D-0000-FFFF-FFFF00000000}"/>
  </bookViews>
  <sheets>
    <sheet name="Intro" sheetId="25" r:id="rId1"/>
    <sheet name="Figure 38" sheetId="11" r:id="rId2"/>
    <sheet name="Figure 39" sheetId="12" r:id="rId3"/>
    <sheet name="Figure 40" sheetId="13" r:id="rId4"/>
  </sheets>
  <definedNames>
    <definedName name="BookPct06">#REF!</definedName>
    <definedName name="BookPct07">#REF!</definedName>
    <definedName name="BookPct08">#REF!</definedName>
    <definedName name="BookPctNew">#REF!</definedName>
    <definedName name="MktGrowth">#REF!</definedName>
    <definedName name="OurCoConversionPct">#REF!</definedName>
    <definedName name="OurCoSalesForecast">#REF!</definedName>
    <definedName name="OurCoShare">#REF!</definedName>
    <definedName name="solver_adj" localSheetId="1" hidden="1">'Figure 38'!$B$2:$B$4</definedName>
    <definedName name="solver_adj" localSheetId="3" hidden="1">'Figure 40'!$B$2:$B$4</definedName>
    <definedName name="solver_cvg" localSheetId="1" hidden="1">0.0001</definedName>
    <definedName name="solver_cvg" localSheetId="3" hidden="1">0.0001</definedName>
    <definedName name="solver_drv" localSheetId="1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3" hidden="1">1</definedName>
    <definedName name="solver_itr" localSheetId="1" hidden="1">100</definedName>
    <definedName name="solver_itr" localSheetId="3" hidden="1">100</definedName>
    <definedName name="solver_lhs1" localSheetId="1" hidden="1">'Figure 38'!$B$4</definedName>
    <definedName name="solver_lhs1" localSheetId="3" hidden="1">'Figure 40'!$B$2</definedName>
    <definedName name="solver_lhs2" localSheetId="1" hidden="1">'Figure 38'!$B$3</definedName>
    <definedName name="solver_lhs2" localSheetId="3" hidden="1">'Figure 40'!$B$3</definedName>
    <definedName name="solver_lhs3" localSheetId="1" hidden="1">'Figure 38'!$B$4</definedName>
    <definedName name="solver_lhs3" localSheetId="3" hidden="1">'Figure 40'!$B$4</definedName>
    <definedName name="solver_lhs4" localSheetId="1" hidden="1">'Figure 38'!$B$2</definedName>
    <definedName name="solver_lhs4" localSheetId="3" hidden="1">'Figure 40'!$B$2</definedName>
    <definedName name="solver_lhs5" localSheetId="1" hidden="1">'Figure 38'!$B$2</definedName>
    <definedName name="solver_lhs5" localSheetId="3" hidden="1">'Figure 40'!$B$3</definedName>
    <definedName name="solver_lhs6" localSheetId="1" hidden="1">'Figure 38'!$B$3</definedName>
    <definedName name="solver_lhs6" localSheetId="3" hidden="1">'Figure 40'!$B$4</definedName>
    <definedName name="solver_lin" localSheetId="1" hidden="1">2</definedName>
    <definedName name="solver_lin" localSheetId="3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eg" localSheetId="2" hidden="1">1</definedName>
    <definedName name="solver_neg" localSheetId="3" hidden="1">2</definedName>
    <definedName name="solver_nod" localSheetId="1" hidden="1">2147483647</definedName>
    <definedName name="solver_num" localSheetId="1" hidden="1">6</definedName>
    <definedName name="solver_num" localSheetId="2" hidden="1">0</definedName>
    <definedName name="solver_num" localSheetId="3" hidden="1">6</definedName>
    <definedName name="solver_nwt" localSheetId="1" hidden="1">1</definedName>
    <definedName name="solver_nwt" localSheetId="3" hidden="1">1</definedName>
    <definedName name="solver_opt" localSheetId="1" hidden="1">'Figure 38'!$B$28</definedName>
    <definedName name="solver_opt" localSheetId="2" hidden="1">'Figure 39'!$A$15</definedName>
    <definedName name="solver_opt" localSheetId="3" hidden="1">'Figure 40'!$B$28</definedName>
    <definedName name="solver_pre" localSheetId="1" hidden="1">0.000001</definedName>
    <definedName name="solver_pre" localSheetId="3" hidden="1">0.000001</definedName>
    <definedName name="solver_rbv" localSheetId="1" hidden="1">1</definedName>
    <definedName name="solver_rel1" localSheetId="1" hidden="1">3</definedName>
    <definedName name="solver_rel1" localSheetId="3" hidden="1">3</definedName>
    <definedName name="solver_rel2" localSheetId="1" hidden="1">3</definedName>
    <definedName name="solver_rel2" localSheetId="3" hidden="1">3</definedName>
    <definedName name="solver_rel3" localSheetId="1" hidden="1">4</definedName>
    <definedName name="solver_rel3" localSheetId="3" hidden="1">3</definedName>
    <definedName name="solver_rel4" localSheetId="1" hidden="1">3</definedName>
    <definedName name="solver_rel4" localSheetId="3" hidden="1">4</definedName>
    <definedName name="solver_rel5" localSheetId="1" hidden="1">4</definedName>
    <definedName name="solver_rel5" localSheetId="3" hidden="1">4</definedName>
    <definedName name="solver_rel6" localSheetId="1" hidden="1">4</definedName>
    <definedName name="solver_rel6" localSheetId="3" hidden="1">4</definedName>
    <definedName name="solver_rhs1" localSheetId="1" hidden="1">0</definedName>
    <definedName name="solver_rhs1" localSheetId="3" hidden="1">0</definedName>
    <definedName name="solver_rhs2" localSheetId="1" hidden="1">0</definedName>
    <definedName name="solver_rhs2" localSheetId="3" hidden="1">0</definedName>
    <definedName name="solver_rhs3" localSheetId="1" hidden="1">"integer"</definedName>
    <definedName name="solver_rhs3" localSheetId="3" hidden="1">0</definedName>
    <definedName name="solver_rhs4" localSheetId="1" hidden="1">0</definedName>
    <definedName name="solver_rhs4" localSheetId="3" hidden="1">integer</definedName>
    <definedName name="solver_rhs5" localSheetId="1" hidden="1">"integer"</definedName>
    <definedName name="solver_rhs5" localSheetId="3" hidden="1">integer</definedName>
    <definedName name="solver_rhs6" localSheetId="1" hidden="1">"integer"</definedName>
    <definedName name="solver_rhs6" localSheetId="3" hidden="1">integer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cl" localSheetId="3" hidden="1">2</definedName>
    <definedName name="solver_sho" localSheetId="1" hidden="1">2</definedName>
    <definedName name="solver_sho" localSheetId="3" hidden="1">2</definedName>
    <definedName name="solver_ssz" localSheetId="1" hidden="1">100</definedName>
    <definedName name="solver_tim" localSheetId="1" hidden="1">100</definedName>
    <definedName name="solver_tim" localSheetId="3" hidden="1">100</definedName>
    <definedName name="solver_tol" localSheetId="1" hidden="1">0.05</definedName>
    <definedName name="solver_tol" localSheetId="3" hidden="1">0.05</definedName>
    <definedName name="solver_typ" localSheetId="1" hidden="1">1</definedName>
    <definedName name="solver_typ" localSheetId="2" hidden="1">1</definedName>
    <definedName name="solver_typ" localSheetId="3" hidden="1">1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UpgradePct06">#REF!</definedName>
    <definedName name="UpgradePct07">#REF!</definedName>
    <definedName name="UpgradePct08">#REF!</definedName>
  </definedName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" i="11" l="1"/>
  <c r="B20" i="11"/>
  <c r="B17" i="11"/>
  <c r="B13" i="11"/>
  <c r="B18" i="11" s="1"/>
  <c r="B26" i="13"/>
  <c r="B25" i="13"/>
  <c r="B24" i="13"/>
  <c r="B15" i="13"/>
  <c r="B20" i="13" s="1"/>
  <c r="B14" i="13"/>
  <c r="B19" i="13" s="1"/>
  <c r="B13" i="13"/>
  <c r="B18" i="13" s="1"/>
  <c r="B12" i="13"/>
  <c r="B17" i="13" s="1"/>
  <c r="B26" i="11"/>
  <c r="B25" i="11"/>
  <c r="B24" i="11"/>
  <c r="B15" i="11"/>
  <c r="B14" i="11"/>
  <c r="B19" i="11" s="1"/>
  <c r="B12" i="11"/>
  <c r="B23" i="11" l="1"/>
  <c r="B27" i="13"/>
  <c r="B27" i="11"/>
  <c r="B21" i="13"/>
  <c r="B23" i="13" s="1"/>
  <c r="B28" i="13" s="1"/>
  <c r="B28" i="11" l="1"/>
</calcChain>
</file>

<file path=xl/sharedStrings.xml><?xml version="1.0" encoding="utf-8"?>
<sst xmlns="http://schemas.openxmlformats.org/spreadsheetml/2006/main" count="117" uniqueCount="59">
  <si>
    <t>County General Emergency Room Planning</t>
  </si>
  <si>
    <t>Number of Nurses</t>
  </si>
  <si>
    <t>Number of Residents</t>
  </si>
  <si>
    <t>Number of Attendings</t>
  </si>
  <si>
    <t>Number of Rooms (Fixed)</t>
  </si>
  <si>
    <t>Each patient will use:</t>
  </si>
  <si>
    <t>Minutes of Nursing time</t>
  </si>
  <si>
    <t>Minutes of Resident time</t>
  </si>
  <si>
    <t>Minutes of Attending time</t>
  </si>
  <si>
    <t>Minutes in the room</t>
  </si>
  <si>
    <t>Person-Minutes in 8 hour shift</t>
  </si>
  <si>
    <t>Nursing</t>
  </si>
  <si>
    <t>Resident</t>
  </si>
  <si>
    <t>Attending</t>
  </si>
  <si>
    <t>Waiting/Procedure</t>
  </si>
  <si>
    <t>Patients in 8 hour shift</t>
  </si>
  <si>
    <t>Total Number of Patients Through</t>
  </si>
  <si>
    <t>Revenue per Patient</t>
  </si>
  <si>
    <t>Total Revenue</t>
  </si>
  <si>
    <t>Cost for Nursing</t>
  </si>
  <si>
    <t>Cost for Residents</t>
  </si>
  <si>
    <t>Cost for Attendings</t>
  </si>
  <si>
    <t>Total Labor Cost</t>
  </si>
  <si>
    <t>Maximize Profit</t>
  </si>
  <si>
    <t>Microsoft Excel 11.0 Answer Report</t>
  </si>
  <si>
    <t>Worksheet: [26-Solver.xls]Sheet1</t>
  </si>
  <si>
    <t>Report Created: 3/2/2006 8:43:51 PM</t>
  </si>
  <si>
    <t>Target Cell (Max)</t>
  </si>
  <si>
    <t>Cell</t>
  </si>
  <si>
    <t>Name</t>
  </si>
  <si>
    <t>Original Value</t>
  </si>
  <si>
    <t>Final Value</t>
  </si>
  <si>
    <t>$B$28</t>
  </si>
  <si>
    <t>Adjustable Cells</t>
  </si>
  <si>
    <t>$B$2</t>
  </si>
  <si>
    <t>$B$3</t>
  </si>
  <si>
    <t>$B$4</t>
  </si>
  <si>
    <t>Constraints</t>
  </si>
  <si>
    <t>Cell Value</t>
  </si>
  <si>
    <t>Formula</t>
  </si>
  <si>
    <t>Status</t>
  </si>
  <si>
    <t>Slack</t>
  </si>
  <si>
    <t>$B$2&gt;=0</t>
  </si>
  <si>
    <t>Not Binding</t>
  </si>
  <si>
    <t>$B$3&gt;=0</t>
  </si>
  <si>
    <t>$B$4&gt;=0</t>
  </si>
  <si>
    <t>$B$2=integer</t>
  </si>
  <si>
    <t>Binding</t>
  </si>
  <si>
    <t>$B$3=integer</t>
  </si>
  <si>
    <t>$B$4=integer</t>
  </si>
  <si>
    <t>Sample Files for Excel 2010 In Depth</t>
  </si>
  <si>
    <t>by Bill Jelen</t>
  </si>
  <si>
    <t>(ISBN 978-0-7897-4308-4)</t>
  </si>
  <si>
    <t>Chapter 26</t>
  </si>
  <si>
    <t>What-If, Scenario, Goal Seek, Solver</t>
  </si>
  <si>
    <t>Files Used in this Chapter</t>
  </si>
  <si>
    <t>26-WhatIf</t>
  </si>
  <si>
    <t>26-Scenario</t>
  </si>
  <si>
    <t>26-Solver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</si>
</sst>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indexed="8"/>
      <name val="Calibri"/>
    </font>
    <font>
      <sz val="10"/>
      <name val="Times New Roman"/>
      <family val="1"/>
    </font>
    <font>
      <b/>
      <sz val="10"/>
      <color indexed="8"/>
      <name val="Times New Roman"/>
      <family val="1"/>
    </font>
    <font>
      <b/>
      <sz val="18"/>
      <color indexed="8"/>
      <name val="Cambria"/>
      <family val="1"/>
    </font>
    <font>
      <b/>
      <sz val="12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color indexed="18"/>
      <name val="Times New Roman"/>
      <family val="1"/>
    </font>
    <font>
      <sz val="10"/>
      <name val="Axel"/>
    </font>
    <font>
      <b/>
      <sz val="10"/>
      <name val="Axel"/>
    </font>
    <font>
      <u/>
      <sz val="10"/>
      <color theme="10"/>
      <name val="Axel"/>
    </font>
    <font>
      <sz val="10"/>
      <color theme="3"/>
      <name val="Axel"/>
    </font>
  </fonts>
  <fills count="5">
    <fill>
      <patternFill patternType="none"/>
    </fill>
    <fill>
      <patternFill patternType="gray125"/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3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9">
    <xf numFmtId="0" fontId="0" fillId="0" borderId="0"/>
    <xf numFmtId="0" fontId="1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0" fontId="10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1"/>
    <xf numFmtId="0" fontId="4" fillId="0" borderId="0" xfId="1" applyFont="1"/>
    <xf numFmtId="0" fontId="1" fillId="4" borderId="0" xfId="1" applyFill="1"/>
    <xf numFmtId="0" fontId="1" fillId="0" borderId="0" xfId="1" quotePrefix="1" applyAlignment="1">
      <alignment horizontal="left"/>
    </xf>
    <xf numFmtId="0" fontId="5" fillId="0" borderId="0" xfId="1" applyFont="1"/>
    <xf numFmtId="0" fontId="5" fillId="0" borderId="0" xfId="1" quotePrefix="1" applyFont="1" applyAlignment="1">
      <alignment horizontal="left"/>
    </xf>
    <xf numFmtId="0" fontId="1" fillId="0" borderId="0" xfId="1" applyAlignment="1">
      <alignment horizontal="left"/>
    </xf>
    <xf numFmtId="0" fontId="5" fillId="0" borderId="0" xfId="1" applyFont="1" applyAlignment="1">
      <alignment horizontal="left"/>
    </xf>
    <xf numFmtId="0" fontId="6" fillId="0" borderId="0" xfId="1" applyFont="1" applyAlignment="1">
      <alignment horizontal="left"/>
    </xf>
    <xf numFmtId="0" fontId="6" fillId="0" borderId="0" xfId="1" applyFont="1"/>
    <xf numFmtId="0" fontId="1" fillId="0" borderId="0" xfId="1" quotePrefix="1" applyAlignment="1">
      <alignment horizontal="right"/>
    </xf>
    <xf numFmtId="3" fontId="1" fillId="0" borderId="0" xfId="1" applyNumberFormat="1"/>
    <xf numFmtId="3" fontId="1" fillId="0" borderId="0" xfId="1" quotePrefix="1" applyNumberFormat="1" applyAlignment="1">
      <alignment horizontal="right"/>
    </xf>
    <xf numFmtId="0" fontId="7" fillId="0" borderId="1" xfId="1" applyFont="1" applyBorder="1" applyAlignment="1">
      <alignment horizontal="center"/>
    </xf>
    <xf numFmtId="0" fontId="1" fillId="0" borderId="2" xfId="1" applyBorder="1"/>
    <xf numFmtId="0" fontId="1" fillId="0" borderId="3" xfId="1" applyBorder="1"/>
    <xf numFmtId="0" fontId="8" fillId="0" borderId="0" xfId="7"/>
    <xf numFmtId="0" fontId="9" fillId="0" borderId="0" xfId="7" applyFont="1"/>
    <xf numFmtId="0" fontId="10" fillId="0" borderId="0" xfId="8"/>
    <xf numFmtId="0" fontId="11" fillId="0" borderId="0" xfId="7" applyFont="1"/>
  </cellXfs>
  <cellStyles count="9">
    <cellStyle name="Emphasis 1" xfId="2" xr:uid="{00000000-0005-0000-0000-000000000000}"/>
    <cellStyle name="Emphasis 2" xfId="3" xr:uid="{00000000-0005-0000-0000-000001000000}"/>
    <cellStyle name="Emphasis 3" xfId="4" xr:uid="{00000000-0005-0000-0000-000002000000}"/>
    <cellStyle name="Hyperlink" xfId="8" builtinId="8"/>
    <cellStyle name="Normal" xfId="0" builtinId="0"/>
    <cellStyle name="Normal 2" xfId="1" xr:uid="{00000000-0005-0000-0000-000005000000}"/>
    <cellStyle name="Normal 3" xfId="7" xr:uid="{00000000-0005-0000-0000-000006000000}"/>
    <cellStyle name="Percent 2" xfId="6" xr:uid="{00000000-0005-0000-0000-000007000000}"/>
    <cellStyle name="Sheet Title" xfId="5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342900</xdr:colOff>
      <xdr:row>11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62100" cy="1885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Custom Theme">
  <a:themeElements>
    <a:clrScheme name="Office Colors">
      <a:dk1>
        <a:sysClr val="windowText" lastClr="000000"/>
      </a:dk1>
      <a:lt1>
        <a:sysClr val="window" lastClr="FFFFFF"/>
      </a:lt1>
      <a:dk2>
        <a:srgbClr val="1F497D"/>
      </a:dk2>
      <a:lt2>
        <a:srgbClr val="FAF3E8"/>
      </a:lt2>
      <a:accent1>
        <a:srgbClr val="5C83B4"/>
      </a:accent1>
      <a:accent2>
        <a:srgbClr val="C0504D"/>
      </a:accent2>
      <a:accent3>
        <a:srgbClr val="9DBB61"/>
      </a:accent3>
      <a:accent4>
        <a:srgbClr val="8066A0"/>
      </a:accent4>
      <a:accent5>
        <a:srgbClr val="4BACC6"/>
      </a:accent5>
      <a:accent6>
        <a:srgbClr val="F59D56"/>
      </a:accent6>
      <a:hlink>
        <a:srgbClr val="0000FF"/>
      </a:hlink>
      <a:folHlink>
        <a:srgbClr val="800080"/>
      </a:folHlink>
    </a:clrScheme>
    <a:fontScheme name="Office Fonts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 Effects">
      <a:fillStyleLst>
        <a:solidFill>
          <a:schemeClr val="phClr">
            <a:tint val="100000"/>
            <a:shade val="100000"/>
            <a:satMod val="100000"/>
          </a:schemeClr>
        </a:solidFill>
        <a:gradFill rotWithShape="1">
          <a:gsLst>
            <a:gs pos="0">
              <a:schemeClr val="phClr">
                <a:tint val="65000"/>
                <a:shade val="100000"/>
                <a:satMod val="133000"/>
              </a:schemeClr>
            </a:gs>
            <a:gs pos="15000">
              <a:schemeClr val="phClr">
                <a:tint val="50000"/>
                <a:shade val="100000"/>
                <a:satMod val="140000"/>
              </a:schemeClr>
            </a:gs>
            <a:gs pos="100000">
              <a:schemeClr val="phClr">
                <a:tint val="10000"/>
                <a:shade val="100000"/>
                <a:satMod val="13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75000"/>
                <a:satMod val="160000"/>
              </a:schemeClr>
            </a:gs>
            <a:gs pos="62000">
              <a:schemeClr val="phClr">
                <a:tint val="100000"/>
                <a:shade val="100000"/>
                <a:satMod val="125000"/>
              </a:schemeClr>
            </a:gs>
            <a:gs pos="100000">
              <a:schemeClr val="phClr">
                <a:tint val="80000"/>
                <a:shade val="100000"/>
                <a:satMod val="140000"/>
              </a:schemeClr>
            </a:gs>
          </a:gsLst>
          <a:lin ang="16200000" scaled="1"/>
        </a:gradFill>
      </a:fillStyleLst>
      <a:lnStyleLst>
        <a:ln w="1270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61176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>
                <a:tint val="100000"/>
                <a:shade val="100000"/>
                <a:satMod val="100000"/>
              </a:schemeClr>
            </a:contourClr>
          </a:sp3d>
        </a:effectStyle>
        <a:effectStyle>
          <a:effectLst>
            <a:reflection blurRad="12700" stA="25000" endPos="28000" dist="38100" dir="5400000" sy="-100000" rotWithShape="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>
                <a:tint val="100000"/>
                <a:shade val="100000"/>
                <a:satMod val="100000"/>
              </a:schemeClr>
            </a:contourClr>
          </a:sp3d>
        </a:effectStyle>
      </a:effectStyleLst>
      <a:bgFillStyleLst>
        <a:solidFill>
          <a:schemeClr val="phClr">
            <a:tint val="100000"/>
            <a:shade val="100000"/>
            <a:satMod val="100000"/>
          </a:schemeClr>
        </a:solidFill>
        <a:gradFill rotWithShape="1">
          <a:gsLst>
            <a:gs pos="0">
              <a:schemeClr val="phClr">
                <a:tint val="100000"/>
                <a:shade val="50000"/>
                <a:satMod val="145000"/>
              </a:schemeClr>
            </a:gs>
            <a:gs pos="40000">
              <a:schemeClr val="phClr">
                <a:tint val="100000"/>
                <a:shade val="70000"/>
                <a:satMod val="145000"/>
              </a:schemeClr>
            </a:gs>
            <a:gs pos="100000">
              <a:schemeClr val="phClr">
                <a:tint val="85000"/>
                <a:shade val="100000"/>
                <a:satMod val="15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50000"/>
                <a:satMod val="145000"/>
              </a:schemeClr>
            </a:gs>
            <a:gs pos="30000">
              <a:schemeClr val="phClr">
                <a:tint val="100000"/>
                <a:shade val="65000"/>
                <a:satMod val="155000"/>
              </a:schemeClr>
            </a:gs>
            <a:gs pos="100000">
              <a:schemeClr val="phClr">
                <a:tint val="60000"/>
                <a:shade val="10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D2:D13"/>
  <sheetViews>
    <sheetView workbookViewId="0">
      <selection activeCell="D2" sqref="D2"/>
    </sheetView>
  </sheetViews>
  <sheetFormatPr defaultColWidth="9.1796875" defaultRowHeight="12.5"/>
  <cols>
    <col min="1" max="16384" width="9.1796875" style="17"/>
  </cols>
  <sheetData>
    <row r="2" spans="4:4">
      <c r="D2" s="17" t="s">
        <v>50</v>
      </c>
    </row>
    <row r="3" spans="4:4">
      <c r="D3" s="17" t="s">
        <v>51</v>
      </c>
    </row>
    <row r="4" spans="4:4">
      <c r="D4" s="17" t="s">
        <v>52</v>
      </c>
    </row>
    <row r="6" spans="4:4">
      <c r="D6" s="17" t="s">
        <v>53</v>
      </c>
    </row>
    <row r="7" spans="4:4">
      <c r="D7" s="17" t="s">
        <v>54</v>
      </c>
    </row>
    <row r="9" spans="4:4" ht="13">
      <c r="D9" s="18" t="s">
        <v>55</v>
      </c>
    </row>
    <row r="10" spans="4:4">
      <c r="D10" s="19"/>
    </row>
    <row r="11" spans="4:4">
      <c r="D11" s="20" t="s">
        <v>56</v>
      </c>
    </row>
    <row r="12" spans="4:4">
      <c r="D12" s="17" t="s">
        <v>57</v>
      </c>
    </row>
    <row r="13" spans="4:4">
      <c r="D13" s="17" t="s">
        <v>58</v>
      </c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E34"/>
  <sheetViews>
    <sheetView workbookViewId="0">
      <selection activeCell="B28" sqref="B28"/>
    </sheetView>
  </sheetViews>
  <sheetFormatPr defaultColWidth="8.81640625" defaultRowHeight="13"/>
  <cols>
    <col min="1" max="1" width="28" style="1" bestFit="1" customWidth="1"/>
    <col min="2" max="256" width="9.1796875" style="1"/>
    <col min="257" max="257" width="28" style="1" bestFit="1" customWidth="1"/>
    <col min="258" max="512" width="9.1796875" style="1"/>
    <col min="513" max="513" width="28" style="1" bestFit="1" customWidth="1"/>
    <col min="514" max="768" width="9.1796875" style="1"/>
    <col min="769" max="769" width="28" style="1" bestFit="1" customWidth="1"/>
    <col min="770" max="1024" width="9.1796875" style="1"/>
    <col min="1025" max="1025" width="28" style="1" bestFit="1" customWidth="1"/>
    <col min="1026" max="1280" width="9.1796875" style="1"/>
    <col min="1281" max="1281" width="28" style="1" bestFit="1" customWidth="1"/>
    <col min="1282" max="1536" width="9.1796875" style="1"/>
    <col min="1537" max="1537" width="28" style="1" bestFit="1" customWidth="1"/>
    <col min="1538" max="1792" width="9.1796875" style="1"/>
    <col min="1793" max="1793" width="28" style="1" bestFit="1" customWidth="1"/>
    <col min="1794" max="2048" width="9.1796875" style="1"/>
    <col min="2049" max="2049" width="28" style="1" bestFit="1" customWidth="1"/>
    <col min="2050" max="2304" width="9.1796875" style="1"/>
    <col min="2305" max="2305" width="28" style="1" bestFit="1" customWidth="1"/>
    <col min="2306" max="2560" width="9.1796875" style="1"/>
    <col min="2561" max="2561" width="28" style="1" bestFit="1" customWidth="1"/>
    <col min="2562" max="2816" width="9.1796875" style="1"/>
    <col min="2817" max="2817" width="28" style="1" bestFit="1" customWidth="1"/>
    <col min="2818" max="3072" width="9.1796875" style="1"/>
    <col min="3073" max="3073" width="28" style="1" bestFit="1" customWidth="1"/>
    <col min="3074" max="3328" width="9.1796875" style="1"/>
    <col min="3329" max="3329" width="28" style="1" bestFit="1" customWidth="1"/>
    <col min="3330" max="3584" width="9.1796875" style="1"/>
    <col min="3585" max="3585" width="28" style="1" bestFit="1" customWidth="1"/>
    <col min="3586" max="3840" width="9.1796875" style="1"/>
    <col min="3841" max="3841" width="28" style="1" bestFit="1" customWidth="1"/>
    <col min="3842" max="4096" width="9.1796875" style="1"/>
    <col min="4097" max="4097" width="28" style="1" bestFit="1" customWidth="1"/>
    <col min="4098" max="4352" width="9.1796875" style="1"/>
    <col min="4353" max="4353" width="28" style="1" bestFit="1" customWidth="1"/>
    <col min="4354" max="4608" width="9.1796875" style="1"/>
    <col min="4609" max="4609" width="28" style="1" bestFit="1" customWidth="1"/>
    <col min="4610" max="4864" width="9.1796875" style="1"/>
    <col min="4865" max="4865" width="28" style="1" bestFit="1" customWidth="1"/>
    <col min="4866" max="5120" width="9.1796875" style="1"/>
    <col min="5121" max="5121" width="28" style="1" bestFit="1" customWidth="1"/>
    <col min="5122" max="5376" width="9.1796875" style="1"/>
    <col min="5377" max="5377" width="28" style="1" bestFit="1" customWidth="1"/>
    <col min="5378" max="5632" width="9.1796875" style="1"/>
    <col min="5633" max="5633" width="28" style="1" bestFit="1" customWidth="1"/>
    <col min="5634" max="5888" width="9.1796875" style="1"/>
    <col min="5889" max="5889" width="28" style="1" bestFit="1" customWidth="1"/>
    <col min="5890" max="6144" width="9.1796875" style="1"/>
    <col min="6145" max="6145" width="28" style="1" bestFit="1" customWidth="1"/>
    <col min="6146" max="6400" width="9.1796875" style="1"/>
    <col min="6401" max="6401" width="28" style="1" bestFit="1" customWidth="1"/>
    <col min="6402" max="6656" width="9.1796875" style="1"/>
    <col min="6657" max="6657" width="28" style="1" bestFit="1" customWidth="1"/>
    <col min="6658" max="6912" width="9.1796875" style="1"/>
    <col min="6913" max="6913" width="28" style="1" bestFit="1" customWidth="1"/>
    <col min="6914" max="7168" width="9.1796875" style="1"/>
    <col min="7169" max="7169" width="28" style="1" bestFit="1" customWidth="1"/>
    <col min="7170" max="7424" width="9.1796875" style="1"/>
    <col min="7425" max="7425" width="28" style="1" bestFit="1" customWidth="1"/>
    <col min="7426" max="7680" width="9.1796875" style="1"/>
    <col min="7681" max="7681" width="28" style="1" bestFit="1" customWidth="1"/>
    <col min="7682" max="7936" width="9.1796875" style="1"/>
    <col min="7937" max="7937" width="28" style="1" bestFit="1" customWidth="1"/>
    <col min="7938" max="8192" width="9.1796875" style="1"/>
    <col min="8193" max="8193" width="28" style="1" bestFit="1" customWidth="1"/>
    <col min="8194" max="8448" width="9.1796875" style="1"/>
    <col min="8449" max="8449" width="28" style="1" bestFit="1" customWidth="1"/>
    <col min="8450" max="8704" width="9.1796875" style="1"/>
    <col min="8705" max="8705" width="28" style="1" bestFit="1" customWidth="1"/>
    <col min="8706" max="8960" width="9.1796875" style="1"/>
    <col min="8961" max="8961" width="28" style="1" bestFit="1" customWidth="1"/>
    <col min="8962" max="9216" width="9.1796875" style="1"/>
    <col min="9217" max="9217" width="28" style="1" bestFit="1" customWidth="1"/>
    <col min="9218" max="9472" width="9.1796875" style="1"/>
    <col min="9473" max="9473" width="28" style="1" bestFit="1" customWidth="1"/>
    <col min="9474" max="9728" width="9.1796875" style="1"/>
    <col min="9729" max="9729" width="28" style="1" bestFit="1" customWidth="1"/>
    <col min="9730" max="9984" width="9.1796875" style="1"/>
    <col min="9985" max="9985" width="28" style="1" bestFit="1" customWidth="1"/>
    <col min="9986" max="10240" width="9.1796875" style="1"/>
    <col min="10241" max="10241" width="28" style="1" bestFit="1" customWidth="1"/>
    <col min="10242" max="10496" width="9.1796875" style="1"/>
    <col min="10497" max="10497" width="28" style="1" bestFit="1" customWidth="1"/>
    <col min="10498" max="10752" width="9.1796875" style="1"/>
    <col min="10753" max="10753" width="28" style="1" bestFit="1" customWidth="1"/>
    <col min="10754" max="11008" width="9.1796875" style="1"/>
    <col min="11009" max="11009" width="28" style="1" bestFit="1" customWidth="1"/>
    <col min="11010" max="11264" width="9.1796875" style="1"/>
    <col min="11265" max="11265" width="28" style="1" bestFit="1" customWidth="1"/>
    <col min="11266" max="11520" width="9.1796875" style="1"/>
    <col min="11521" max="11521" width="28" style="1" bestFit="1" customWidth="1"/>
    <col min="11522" max="11776" width="9.1796875" style="1"/>
    <col min="11777" max="11777" width="28" style="1" bestFit="1" customWidth="1"/>
    <col min="11778" max="12032" width="9.1796875" style="1"/>
    <col min="12033" max="12033" width="28" style="1" bestFit="1" customWidth="1"/>
    <col min="12034" max="12288" width="9.1796875" style="1"/>
    <col min="12289" max="12289" width="28" style="1" bestFit="1" customWidth="1"/>
    <col min="12290" max="12544" width="9.1796875" style="1"/>
    <col min="12545" max="12545" width="28" style="1" bestFit="1" customWidth="1"/>
    <col min="12546" max="12800" width="9.1796875" style="1"/>
    <col min="12801" max="12801" width="28" style="1" bestFit="1" customWidth="1"/>
    <col min="12802" max="13056" width="9.1796875" style="1"/>
    <col min="13057" max="13057" width="28" style="1" bestFit="1" customWidth="1"/>
    <col min="13058" max="13312" width="9.1796875" style="1"/>
    <col min="13313" max="13313" width="28" style="1" bestFit="1" customWidth="1"/>
    <col min="13314" max="13568" width="9.1796875" style="1"/>
    <col min="13569" max="13569" width="28" style="1" bestFit="1" customWidth="1"/>
    <col min="13570" max="13824" width="9.1796875" style="1"/>
    <col min="13825" max="13825" width="28" style="1" bestFit="1" customWidth="1"/>
    <col min="13826" max="14080" width="9.1796875" style="1"/>
    <col min="14081" max="14081" width="28" style="1" bestFit="1" customWidth="1"/>
    <col min="14082" max="14336" width="9.1796875" style="1"/>
    <col min="14337" max="14337" width="28" style="1" bestFit="1" customWidth="1"/>
    <col min="14338" max="14592" width="9.1796875" style="1"/>
    <col min="14593" max="14593" width="28" style="1" bestFit="1" customWidth="1"/>
    <col min="14594" max="14848" width="9.1796875" style="1"/>
    <col min="14849" max="14849" width="28" style="1" bestFit="1" customWidth="1"/>
    <col min="14850" max="15104" width="9.1796875" style="1"/>
    <col min="15105" max="15105" width="28" style="1" bestFit="1" customWidth="1"/>
    <col min="15106" max="15360" width="9.1796875" style="1"/>
    <col min="15361" max="15361" width="28" style="1" bestFit="1" customWidth="1"/>
    <col min="15362" max="15616" width="9.1796875" style="1"/>
    <col min="15617" max="15617" width="28" style="1" bestFit="1" customWidth="1"/>
    <col min="15618" max="15872" width="9.1796875" style="1"/>
    <col min="15873" max="15873" width="28" style="1" bestFit="1" customWidth="1"/>
    <col min="15874" max="16128" width="9.1796875" style="1"/>
    <col min="16129" max="16129" width="28" style="1" bestFit="1" customWidth="1"/>
    <col min="16130" max="16384" width="9.1796875" style="1"/>
  </cols>
  <sheetData>
    <row r="1" spans="1:2" ht="15">
      <c r="A1" s="2" t="s">
        <v>0</v>
      </c>
    </row>
    <row r="2" spans="1:2">
      <c r="A2" s="1" t="s">
        <v>1</v>
      </c>
      <c r="B2" s="3">
        <v>10.062720290047526</v>
      </c>
    </row>
    <row r="3" spans="1:2">
      <c r="A3" s="4" t="s">
        <v>2</v>
      </c>
      <c r="B3" s="3">
        <v>6.6666694199479002</v>
      </c>
    </row>
    <row r="4" spans="1:2">
      <c r="A4" s="1" t="s">
        <v>3</v>
      </c>
      <c r="B4" s="3">
        <v>3.7072178962571476</v>
      </c>
    </row>
    <row r="5" spans="1:2">
      <c r="A5" s="4" t="s">
        <v>4</v>
      </c>
      <c r="B5" s="1">
        <v>20</v>
      </c>
    </row>
    <row r="6" spans="1:2">
      <c r="A6" s="5" t="s">
        <v>5</v>
      </c>
    </row>
    <row r="7" spans="1:2">
      <c r="A7" s="1" t="s">
        <v>6</v>
      </c>
      <c r="B7" s="1">
        <v>30</v>
      </c>
    </row>
    <row r="8" spans="1:2">
      <c r="A8" s="1" t="s">
        <v>7</v>
      </c>
      <c r="B8" s="1">
        <v>20</v>
      </c>
    </row>
    <row r="9" spans="1:2">
      <c r="A9" s="1" t="s">
        <v>8</v>
      </c>
      <c r="B9" s="1">
        <v>10</v>
      </c>
    </row>
    <row r="10" spans="1:2">
      <c r="A10" s="1" t="s">
        <v>9</v>
      </c>
      <c r="B10" s="1">
        <v>60</v>
      </c>
    </row>
    <row r="11" spans="1:2">
      <c r="A11" s="6" t="s">
        <v>10</v>
      </c>
    </row>
    <row r="12" spans="1:2">
      <c r="A12" s="1" t="s">
        <v>11</v>
      </c>
      <c r="B12" s="1">
        <f>B2*8*60</f>
        <v>4830.1057392228122</v>
      </c>
    </row>
    <row r="13" spans="1:2">
      <c r="A13" s="1" t="s">
        <v>12</v>
      </c>
      <c r="B13" s="1">
        <f>B3*8*60</f>
        <v>3200.0013215749923</v>
      </c>
    </row>
    <row r="14" spans="1:2">
      <c r="A14" s="1" t="s">
        <v>13</v>
      </c>
      <c r="B14" s="1">
        <f>B4*8*60</f>
        <v>1779.4645902034308</v>
      </c>
    </row>
    <row r="15" spans="1:2">
      <c r="A15" s="1" t="s">
        <v>14</v>
      </c>
      <c r="B15" s="1">
        <f>B5*8*60</f>
        <v>9600</v>
      </c>
    </row>
    <row r="16" spans="1:2">
      <c r="A16" s="5" t="s">
        <v>15</v>
      </c>
    </row>
    <row r="17" spans="1:5">
      <c r="A17" s="1" t="s">
        <v>11</v>
      </c>
      <c r="B17" s="1">
        <f>+B12/B7</f>
        <v>161.00352464076042</v>
      </c>
    </row>
    <row r="18" spans="1:5">
      <c r="A18" s="1" t="s">
        <v>12</v>
      </c>
      <c r="B18" s="1">
        <f>+B13/B8</f>
        <v>160.00006607874963</v>
      </c>
    </row>
    <row r="19" spans="1:5">
      <c r="A19" s="1" t="s">
        <v>13</v>
      </c>
      <c r="B19" s="1">
        <f>+B14/B9</f>
        <v>177.94645902034307</v>
      </c>
    </row>
    <row r="20" spans="1:5">
      <c r="A20" s="1" t="s">
        <v>14</v>
      </c>
      <c r="B20" s="1">
        <f>+B15/B10</f>
        <v>160</v>
      </c>
    </row>
    <row r="21" spans="1:5">
      <c r="A21" s="4" t="s">
        <v>16</v>
      </c>
      <c r="B21" s="1">
        <f>MIN(B17:B20)</f>
        <v>160</v>
      </c>
    </row>
    <row r="22" spans="1:5">
      <c r="A22" s="7" t="s">
        <v>17</v>
      </c>
      <c r="B22" s="1">
        <v>225</v>
      </c>
    </row>
    <row r="23" spans="1:5">
      <c r="A23" s="8" t="s">
        <v>18</v>
      </c>
      <c r="B23" s="5">
        <f>+B22*B21</f>
        <v>36000</v>
      </c>
    </row>
    <row r="24" spans="1:5">
      <c r="A24" s="9" t="s">
        <v>19</v>
      </c>
      <c r="B24" s="10">
        <f>23*8*B2</f>
        <v>1851.5405333687447</v>
      </c>
    </row>
    <row r="25" spans="1:5">
      <c r="A25" s="9" t="s">
        <v>20</v>
      </c>
      <c r="B25" s="10">
        <f>+B3*30*8</f>
        <v>1600.0006607874961</v>
      </c>
    </row>
    <row r="26" spans="1:5">
      <c r="A26" s="9" t="s">
        <v>21</v>
      </c>
      <c r="B26" s="10">
        <f>60*8*B4</f>
        <v>1779.4645902034308</v>
      </c>
    </row>
    <row r="27" spans="1:5">
      <c r="A27" s="8" t="s">
        <v>22</v>
      </c>
      <c r="B27" s="5">
        <f>SUM(B24:B26)</f>
        <v>5231.0057843596715</v>
      </c>
    </row>
    <row r="28" spans="1:5">
      <c r="A28" s="8" t="s">
        <v>23</v>
      </c>
      <c r="B28" s="5">
        <f>+B23-B27</f>
        <v>30768.994215640327</v>
      </c>
    </row>
    <row r="29" spans="1:5">
      <c r="B29" s="11"/>
      <c r="C29" s="11"/>
      <c r="D29" s="11"/>
      <c r="E29" s="11"/>
    </row>
    <row r="30" spans="1:5">
      <c r="D30" s="12"/>
      <c r="E30" s="12"/>
    </row>
    <row r="31" spans="1:5">
      <c r="D31" s="12"/>
      <c r="E31" s="12"/>
    </row>
    <row r="32" spans="1:5">
      <c r="D32" s="12"/>
      <c r="E32" s="12"/>
    </row>
    <row r="33" spans="4:5">
      <c r="D33" s="12"/>
      <c r="E33" s="12"/>
    </row>
    <row r="34" spans="4:5">
      <c r="D34" s="13"/>
      <c r="E34" s="12"/>
    </row>
  </sheetData>
  <scenarios current="1" show="1">
    <scenario name="Optimized" count="3" user="PHB" comment="Created by PHB on 3/2/2006">
      <inputCells r="B2" val="10"/>
      <inputCells r="B3" val="7"/>
      <inputCells r="B4" val="4"/>
    </scenario>
    <scenario name="Original" locked="1" count="3" user="PHB" comment="Created by PHB on 3/2/2006">
      <inputCells r="B2" val="10"/>
      <inputCells r="B3" val="6"/>
      <inputCells r="B4" val="2"/>
    </scenario>
  </scenarios>
  <pageMargins left="0.75" right="0.75" top="1" bottom="1" header="0.5" footer="0.5"/>
  <pageSetup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G25"/>
  <sheetViews>
    <sheetView showGridLines="0" tabSelected="1" workbookViewId="0">
      <selection activeCell="A15" sqref="A15"/>
    </sheetView>
  </sheetViews>
  <sheetFormatPr defaultColWidth="8.81640625" defaultRowHeight="13"/>
  <cols>
    <col min="1" max="1" width="2" style="1" customWidth="1"/>
    <col min="2" max="2" width="5.453125" style="1" bestFit="1" customWidth="1"/>
    <col min="3" max="3" width="18.453125" style="1" bestFit="1" customWidth="1"/>
    <col min="4" max="4" width="13" style="1" bestFit="1" customWidth="1"/>
    <col min="5" max="5" width="11" style="1" bestFit="1" customWidth="1"/>
    <col min="6" max="6" width="10.36328125" style="1" bestFit="1" customWidth="1"/>
    <col min="7" max="7" width="5.453125" style="1" customWidth="1"/>
    <col min="8" max="256" width="9.1796875" style="1"/>
    <col min="257" max="257" width="2" style="1" customWidth="1"/>
    <col min="258" max="258" width="5.453125" style="1" bestFit="1" customWidth="1"/>
    <col min="259" max="259" width="18.453125" style="1" bestFit="1" customWidth="1"/>
    <col min="260" max="260" width="13" style="1" bestFit="1" customWidth="1"/>
    <col min="261" max="261" width="11" style="1" bestFit="1" customWidth="1"/>
    <col min="262" max="262" width="10.36328125" style="1" bestFit="1" customWidth="1"/>
    <col min="263" max="263" width="5.453125" style="1" customWidth="1"/>
    <col min="264" max="512" width="9.1796875" style="1"/>
    <col min="513" max="513" width="2" style="1" customWidth="1"/>
    <col min="514" max="514" width="5.453125" style="1" bestFit="1" customWidth="1"/>
    <col min="515" max="515" width="18.453125" style="1" bestFit="1" customWidth="1"/>
    <col min="516" max="516" width="13" style="1" bestFit="1" customWidth="1"/>
    <col min="517" max="517" width="11" style="1" bestFit="1" customWidth="1"/>
    <col min="518" max="518" width="10.36328125" style="1" bestFit="1" customWidth="1"/>
    <col min="519" max="519" width="5.453125" style="1" customWidth="1"/>
    <col min="520" max="768" width="9.1796875" style="1"/>
    <col min="769" max="769" width="2" style="1" customWidth="1"/>
    <col min="770" max="770" width="5.453125" style="1" bestFit="1" customWidth="1"/>
    <col min="771" max="771" width="18.453125" style="1" bestFit="1" customWidth="1"/>
    <col min="772" max="772" width="13" style="1" bestFit="1" customWidth="1"/>
    <col min="773" max="773" width="11" style="1" bestFit="1" customWidth="1"/>
    <col min="774" max="774" width="10.36328125" style="1" bestFit="1" customWidth="1"/>
    <col min="775" max="775" width="5.453125" style="1" customWidth="1"/>
    <col min="776" max="1024" width="9.1796875" style="1"/>
    <col min="1025" max="1025" width="2" style="1" customWidth="1"/>
    <col min="1026" max="1026" width="5.453125" style="1" bestFit="1" customWidth="1"/>
    <col min="1027" max="1027" width="18.453125" style="1" bestFit="1" customWidth="1"/>
    <col min="1028" max="1028" width="13" style="1" bestFit="1" customWidth="1"/>
    <col min="1029" max="1029" width="11" style="1" bestFit="1" customWidth="1"/>
    <col min="1030" max="1030" width="10.36328125" style="1" bestFit="1" customWidth="1"/>
    <col min="1031" max="1031" width="5.453125" style="1" customWidth="1"/>
    <col min="1032" max="1280" width="9.1796875" style="1"/>
    <col min="1281" max="1281" width="2" style="1" customWidth="1"/>
    <col min="1282" max="1282" width="5.453125" style="1" bestFit="1" customWidth="1"/>
    <col min="1283" max="1283" width="18.453125" style="1" bestFit="1" customWidth="1"/>
    <col min="1284" max="1284" width="13" style="1" bestFit="1" customWidth="1"/>
    <col min="1285" max="1285" width="11" style="1" bestFit="1" customWidth="1"/>
    <col min="1286" max="1286" width="10.36328125" style="1" bestFit="1" customWidth="1"/>
    <col min="1287" max="1287" width="5.453125" style="1" customWidth="1"/>
    <col min="1288" max="1536" width="9.1796875" style="1"/>
    <col min="1537" max="1537" width="2" style="1" customWidth="1"/>
    <col min="1538" max="1538" width="5.453125" style="1" bestFit="1" customWidth="1"/>
    <col min="1539" max="1539" width="18.453125" style="1" bestFit="1" customWidth="1"/>
    <col min="1540" max="1540" width="13" style="1" bestFit="1" customWidth="1"/>
    <col min="1541" max="1541" width="11" style="1" bestFit="1" customWidth="1"/>
    <col min="1542" max="1542" width="10.36328125" style="1" bestFit="1" customWidth="1"/>
    <col min="1543" max="1543" width="5.453125" style="1" customWidth="1"/>
    <col min="1544" max="1792" width="9.1796875" style="1"/>
    <col min="1793" max="1793" width="2" style="1" customWidth="1"/>
    <col min="1794" max="1794" width="5.453125" style="1" bestFit="1" customWidth="1"/>
    <col min="1795" max="1795" width="18.453125" style="1" bestFit="1" customWidth="1"/>
    <col min="1796" max="1796" width="13" style="1" bestFit="1" customWidth="1"/>
    <col min="1797" max="1797" width="11" style="1" bestFit="1" customWidth="1"/>
    <col min="1798" max="1798" width="10.36328125" style="1" bestFit="1" customWidth="1"/>
    <col min="1799" max="1799" width="5.453125" style="1" customWidth="1"/>
    <col min="1800" max="2048" width="9.1796875" style="1"/>
    <col min="2049" max="2049" width="2" style="1" customWidth="1"/>
    <col min="2050" max="2050" width="5.453125" style="1" bestFit="1" customWidth="1"/>
    <col min="2051" max="2051" width="18.453125" style="1" bestFit="1" customWidth="1"/>
    <col min="2052" max="2052" width="13" style="1" bestFit="1" customWidth="1"/>
    <col min="2053" max="2053" width="11" style="1" bestFit="1" customWidth="1"/>
    <col min="2054" max="2054" width="10.36328125" style="1" bestFit="1" customWidth="1"/>
    <col min="2055" max="2055" width="5.453125" style="1" customWidth="1"/>
    <col min="2056" max="2304" width="9.1796875" style="1"/>
    <col min="2305" max="2305" width="2" style="1" customWidth="1"/>
    <col min="2306" max="2306" width="5.453125" style="1" bestFit="1" customWidth="1"/>
    <col min="2307" max="2307" width="18.453125" style="1" bestFit="1" customWidth="1"/>
    <col min="2308" max="2308" width="13" style="1" bestFit="1" customWidth="1"/>
    <col min="2309" max="2309" width="11" style="1" bestFit="1" customWidth="1"/>
    <col min="2310" max="2310" width="10.36328125" style="1" bestFit="1" customWidth="1"/>
    <col min="2311" max="2311" width="5.453125" style="1" customWidth="1"/>
    <col min="2312" max="2560" width="9.1796875" style="1"/>
    <col min="2561" max="2561" width="2" style="1" customWidth="1"/>
    <col min="2562" max="2562" width="5.453125" style="1" bestFit="1" customWidth="1"/>
    <col min="2563" max="2563" width="18.453125" style="1" bestFit="1" customWidth="1"/>
    <col min="2564" max="2564" width="13" style="1" bestFit="1" customWidth="1"/>
    <col min="2565" max="2565" width="11" style="1" bestFit="1" customWidth="1"/>
    <col min="2566" max="2566" width="10.36328125" style="1" bestFit="1" customWidth="1"/>
    <col min="2567" max="2567" width="5.453125" style="1" customWidth="1"/>
    <col min="2568" max="2816" width="9.1796875" style="1"/>
    <col min="2817" max="2817" width="2" style="1" customWidth="1"/>
    <col min="2818" max="2818" width="5.453125" style="1" bestFit="1" customWidth="1"/>
    <col min="2819" max="2819" width="18.453125" style="1" bestFit="1" customWidth="1"/>
    <col min="2820" max="2820" width="13" style="1" bestFit="1" customWidth="1"/>
    <col min="2821" max="2821" width="11" style="1" bestFit="1" customWidth="1"/>
    <col min="2822" max="2822" width="10.36328125" style="1" bestFit="1" customWidth="1"/>
    <col min="2823" max="2823" width="5.453125" style="1" customWidth="1"/>
    <col min="2824" max="3072" width="9.1796875" style="1"/>
    <col min="3073" max="3073" width="2" style="1" customWidth="1"/>
    <col min="3074" max="3074" width="5.453125" style="1" bestFit="1" customWidth="1"/>
    <col min="3075" max="3075" width="18.453125" style="1" bestFit="1" customWidth="1"/>
    <col min="3076" max="3076" width="13" style="1" bestFit="1" customWidth="1"/>
    <col min="3077" max="3077" width="11" style="1" bestFit="1" customWidth="1"/>
    <col min="3078" max="3078" width="10.36328125" style="1" bestFit="1" customWidth="1"/>
    <col min="3079" max="3079" width="5.453125" style="1" customWidth="1"/>
    <col min="3080" max="3328" width="9.1796875" style="1"/>
    <col min="3329" max="3329" width="2" style="1" customWidth="1"/>
    <col min="3330" max="3330" width="5.453125" style="1" bestFit="1" customWidth="1"/>
    <col min="3331" max="3331" width="18.453125" style="1" bestFit="1" customWidth="1"/>
    <col min="3332" max="3332" width="13" style="1" bestFit="1" customWidth="1"/>
    <col min="3333" max="3333" width="11" style="1" bestFit="1" customWidth="1"/>
    <col min="3334" max="3334" width="10.36328125" style="1" bestFit="1" customWidth="1"/>
    <col min="3335" max="3335" width="5.453125" style="1" customWidth="1"/>
    <col min="3336" max="3584" width="9.1796875" style="1"/>
    <col min="3585" max="3585" width="2" style="1" customWidth="1"/>
    <col min="3586" max="3586" width="5.453125" style="1" bestFit="1" customWidth="1"/>
    <col min="3587" max="3587" width="18.453125" style="1" bestFit="1" customWidth="1"/>
    <col min="3588" max="3588" width="13" style="1" bestFit="1" customWidth="1"/>
    <col min="3589" max="3589" width="11" style="1" bestFit="1" customWidth="1"/>
    <col min="3590" max="3590" width="10.36328125" style="1" bestFit="1" customWidth="1"/>
    <col min="3591" max="3591" width="5.453125" style="1" customWidth="1"/>
    <col min="3592" max="3840" width="9.1796875" style="1"/>
    <col min="3841" max="3841" width="2" style="1" customWidth="1"/>
    <col min="3842" max="3842" width="5.453125" style="1" bestFit="1" customWidth="1"/>
    <col min="3843" max="3843" width="18.453125" style="1" bestFit="1" customWidth="1"/>
    <col min="3844" max="3844" width="13" style="1" bestFit="1" customWidth="1"/>
    <col min="3845" max="3845" width="11" style="1" bestFit="1" customWidth="1"/>
    <col min="3846" max="3846" width="10.36328125" style="1" bestFit="1" customWidth="1"/>
    <col min="3847" max="3847" width="5.453125" style="1" customWidth="1"/>
    <col min="3848" max="4096" width="9.1796875" style="1"/>
    <col min="4097" max="4097" width="2" style="1" customWidth="1"/>
    <col min="4098" max="4098" width="5.453125" style="1" bestFit="1" customWidth="1"/>
    <col min="4099" max="4099" width="18.453125" style="1" bestFit="1" customWidth="1"/>
    <col min="4100" max="4100" width="13" style="1" bestFit="1" customWidth="1"/>
    <col min="4101" max="4101" width="11" style="1" bestFit="1" customWidth="1"/>
    <col min="4102" max="4102" width="10.36328125" style="1" bestFit="1" customWidth="1"/>
    <col min="4103" max="4103" width="5.453125" style="1" customWidth="1"/>
    <col min="4104" max="4352" width="9.1796875" style="1"/>
    <col min="4353" max="4353" width="2" style="1" customWidth="1"/>
    <col min="4354" max="4354" width="5.453125" style="1" bestFit="1" customWidth="1"/>
    <col min="4355" max="4355" width="18.453125" style="1" bestFit="1" customWidth="1"/>
    <col min="4356" max="4356" width="13" style="1" bestFit="1" customWidth="1"/>
    <col min="4357" max="4357" width="11" style="1" bestFit="1" customWidth="1"/>
    <col min="4358" max="4358" width="10.36328125" style="1" bestFit="1" customWidth="1"/>
    <col min="4359" max="4359" width="5.453125" style="1" customWidth="1"/>
    <col min="4360" max="4608" width="9.1796875" style="1"/>
    <col min="4609" max="4609" width="2" style="1" customWidth="1"/>
    <col min="4610" max="4610" width="5.453125" style="1" bestFit="1" customWidth="1"/>
    <col min="4611" max="4611" width="18.453125" style="1" bestFit="1" customWidth="1"/>
    <col min="4612" max="4612" width="13" style="1" bestFit="1" customWidth="1"/>
    <col min="4613" max="4613" width="11" style="1" bestFit="1" customWidth="1"/>
    <col min="4614" max="4614" width="10.36328125" style="1" bestFit="1" customWidth="1"/>
    <col min="4615" max="4615" width="5.453125" style="1" customWidth="1"/>
    <col min="4616" max="4864" width="9.1796875" style="1"/>
    <col min="4865" max="4865" width="2" style="1" customWidth="1"/>
    <col min="4866" max="4866" width="5.453125" style="1" bestFit="1" customWidth="1"/>
    <col min="4867" max="4867" width="18.453125" style="1" bestFit="1" customWidth="1"/>
    <col min="4868" max="4868" width="13" style="1" bestFit="1" customWidth="1"/>
    <col min="4869" max="4869" width="11" style="1" bestFit="1" customWidth="1"/>
    <col min="4870" max="4870" width="10.36328125" style="1" bestFit="1" customWidth="1"/>
    <col min="4871" max="4871" width="5.453125" style="1" customWidth="1"/>
    <col min="4872" max="5120" width="9.1796875" style="1"/>
    <col min="5121" max="5121" width="2" style="1" customWidth="1"/>
    <col min="5122" max="5122" width="5.453125" style="1" bestFit="1" customWidth="1"/>
    <col min="5123" max="5123" width="18.453125" style="1" bestFit="1" customWidth="1"/>
    <col min="5124" max="5124" width="13" style="1" bestFit="1" customWidth="1"/>
    <col min="5125" max="5125" width="11" style="1" bestFit="1" customWidth="1"/>
    <col min="5126" max="5126" width="10.36328125" style="1" bestFit="1" customWidth="1"/>
    <col min="5127" max="5127" width="5.453125" style="1" customWidth="1"/>
    <col min="5128" max="5376" width="9.1796875" style="1"/>
    <col min="5377" max="5377" width="2" style="1" customWidth="1"/>
    <col min="5378" max="5378" width="5.453125" style="1" bestFit="1" customWidth="1"/>
    <col min="5379" max="5379" width="18.453125" style="1" bestFit="1" customWidth="1"/>
    <col min="5380" max="5380" width="13" style="1" bestFit="1" customWidth="1"/>
    <col min="5381" max="5381" width="11" style="1" bestFit="1" customWidth="1"/>
    <col min="5382" max="5382" width="10.36328125" style="1" bestFit="1" customWidth="1"/>
    <col min="5383" max="5383" width="5.453125" style="1" customWidth="1"/>
    <col min="5384" max="5632" width="9.1796875" style="1"/>
    <col min="5633" max="5633" width="2" style="1" customWidth="1"/>
    <col min="5634" max="5634" width="5.453125" style="1" bestFit="1" customWidth="1"/>
    <col min="5635" max="5635" width="18.453125" style="1" bestFit="1" customWidth="1"/>
    <col min="5636" max="5636" width="13" style="1" bestFit="1" customWidth="1"/>
    <col min="5637" max="5637" width="11" style="1" bestFit="1" customWidth="1"/>
    <col min="5638" max="5638" width="10.36328125" style="1" bestFit="1" customWidth="1"/>
    <col min="5639" max="5639" width="5.453125" style="1" customWidth="1"/>
    <col min="5640" max="5888" width="9.1796875" style="1"/>
    <col min="5889" max="5889" width="2" style="1" customWidth="1"/>
    <col min="5890" max="5890" width="5.453125" style="1" bestFit="1" customWidth="1"/>
    <col min="5891" max="5891" width="18.453125" style="1" bestFit="1" customWidth="1"/>
    <col min="5892" max="5892" width="13" style="1" bestFit="1" customWidth="1"/>
    <col min="5893" max="5893" width="11" style="1" bestFit="1" customWidth="1"/>
    <col min="5894" max="5894" width="10.36328125" style="1" bestFit="1" customWidth="1"/>
    <col min="5895" max="5895" width="5.453125" style="1" customWidth="1"/>
    <col min="5896" max="6144" width="9.1796875" style="1"/>
    <col min="6145" max="6145" width="2" style="1" customWidth="1"/>
    <col min="6146" max="6146" width="5.453125" style="1" bestFit="1" customWidth="1"/>
    <col min="6147" max="6147" width="18.453125" style="1" bestFit="1" customWidth="1"/>
    <col min="6148" max="6148" width="13" style="1" bestFit="1" customWidth="1"/>
    <col min="6149" max="6149" width="11" style="1" bestFit="1" customWidth="1"/>
    <col min="6150" max="6150" width="10.36328125" style="1" bestFit="1" customWidth="1"/>
    <col min="6151" max="6151" width="5.453125" style="1" customWidth="1"/>
    <col min="6152" max="6400" width="9.1796875" style="1"/>
    <col min="6401" max="6401" width="2" style="1" customWidth="1"/>
    <col min="6402" max="6402" width="5.453125" style="1" bestFit="1" customWidth="1"/>
    <col min="6403" max="6403" width="18.453125" style="1" bestFit="1" customWidth="1"/>
    <col min="6404" max="6404" width="13" style="1" bestFit="1" customWidth="1"/>
    <col min="6405" max="6405" width="11" style="1" bestFit="1" customWidth="1"/>
    <col min="6406" max="6406" width="10.36328125" style="1" bestFit="1" customWidth="1"/>
    <col min="6407" max="6407" width="5.453125" style="1" customWidth="1"/>
    <col min="6408" max="6656" width="9.1796875" style="1"/>
    <col min="6657" max="6657" width="2" style="1" customWidth="1"/>
    <col min="6658" max="6658" width="5.453125" style="1" bestFit="1" customWidth="1"/>
    <col min="6659" max="6659" width="18.453125" style="1" bestFit="1" customWidth="1"/>
    <col min="6660" max="6660" width="13" style="1" bestFit="1" customWidth="1"/>
    <col min="6661" max="6661" width="11" style="1" bestFit="1" customWidth="1"/>
    <col min="6662" max="6662" width="10.36328125" style="1" bestFit="1" customWidth="1"/>
    <col min="6663" max="6663" width="5.453125" style="1" customWidth="1"/>
    <col min="6664" max="6912" width="9.1796875" style="1"/>
    <col min="6913" max="6913" width="2" style="1" customWidth="1"/>
    <col min="6914" max="6914" width="5.453125" style="1" bestFit="1" customWidth="1"/>
    <col min="6915" max="6915" width="18.453125" style="1" bestFit="1" customWidth="1"/>
    <col min="6916" max="6916" width="13" style="1" bestFit="1" customWidth="1"/>
    <col min="6917" max="6917" width="11" style="1" bestFit="1" customWidth="1"/>
    <col min="6918" max="6918" width="10.36328125" style="1" bestFit="1" customWidth="1"/>
    <col min="6919" max="6919" width="5.453125" style="1" customWidth="1"/>
    <col min="6920" max="7168" width="9.1796875" style="1"/>
    <col min="7169" max="7169" width="2" style="1" customWidth="1"/>
    <col min="7170" max="7170" width="5.453125" style="1" bestFit="1" customWidth="1"/>
    <col min="7171" max="7171" width="18.453125" style="1" bestFit="1" customWidth="1"/>
    <col min="7172" max="7172" width="13" style="1" bestFit="1" customWidth="1"/>
    <col min="7173" max="7173" width="11" style="1" bestFit="1" customWidth="1"/>
    <col min="7174" max="7174" width="10.36328125" style="1" bestFit="1" customWidth="1"/>
    <col min="7175" max="7175" width="5.453125" style="1" customWidth="1"/>
    <col min="7176" max="7424" width="9.1796875" style="1"/>
    <col min="7425" max="7425" width="2" style="1" customWidth="1"/>
    <col min="7426" max="7426" width="5.453125" style="1" bestFit="1" customWidth="1"/>
    <col min="7427" max="7427" width="18.453125" style="1" bestFit="1" customWidth="1"/>
    <col min="7428" max="7428" width="13" style="1" bestFit="1" customWidth="1"/>
    <col min="7429" max="7429" width="11" style="1" bestFit="1" customWidth="1"/>
    <col min="7430" max="7430" width="10.36328125" style="1" bestFit="1" customWidth="1"/>
    <col min="7431" max="7431" width="5.453125" style="1" customWidth="1"/>
    <col min="7432" max="7680" width="9.1796875" style="1"/>
    <col min="7681" max="7681" width="2" style="1" customWidth="1"/>
    <col min="7682" max="7682" width="5.453125" style="1" bestFit="1" customWidth="1"/>
    <col min="7683" max="7683" width="18.453125" style="1" bestFit="1" customWidth="1"/>
    <col min="7684" max="7684" width="13" style="1" bestFit="1" customWidth="1"/>
    <col min="7685" max="7685" width="11" style="1" bestFit="1" customWidth="1"/>
    <col min="7686" max="7686" width="10.36328125" style="1" bestFit="1" customWidth="1"/>
    <col min="7687" max="7687" width="5.453125" style="1" customWidth="1"/>
    <col min="7688" max="7936" width="9.1796875" style="1"/>
    <col min="7937" max="7937" width="2" style="1" customWidth="1"/>
    <col min="7938" max="7938" width="5.453125" style="1" bestFit="1" customWidth="1"/>
    <col min="7939" max="7939" width="18.453125" style="1" bestFit="1" customWidth="1"/>
    <col min="7940" max="7940" width="13" style="1" bestFit="1" customWidth="1"/>
    <col min="7941" max="7941" width="11" style="1" bestFit="1" customWidth="1"/>
    <col min="7942" max="7942" width="10.36328125" style="1" bestFit="1" customWidth="1"/>
    <col min="7943" max="7943" width="5.453125" style="1" customWidth="1"/>
    <col min="7944" max="8192" width="9.1796875" style="1"/>
    <col min="8193" max="8193" width="2" style="1" customWidth="1"/>
    <col min="8194" max="8194" width="5.453125" style="1" bestFit="1" customWidth="1"/>
    <col min="8195" max="8195" width="18.453125" style="1" bestFit="1" customWidth="1"/>
    <col min="8196" max="8196" width="13" style="1" bestFit="1" customWidth="1"/>
    <col min="8197" max="8197" width="11" style="1" bestFit="1" customWidth="1"/>
    <col min="8198" max="8198" width="10.36328125" style="1" bestFit="1" customWidth="1"/>
    <col min="8199" max="8199" width="5.453125" style="1" customWidth="1"/>
    <col min="8200" max="8448" width="9.1796875" style="1"/>
    <col min="8449" max="8449" width="2" style="1" customWidth="1"/>
    <col min="8450" max="8450" width="5.453125" style="1" bestFit="1" customWidth="1"/>
    <col min="8451" max="8451" width="18.453125" style="1" bestFit="1" customWidth="1"/>
    <col min="8452" max="8452" width="13" style="1" bestFit="1" customWidth="1"/>
    <col min="8453" max="8453" width="11" style="1" bestFit="1" customWidth="1"/>
    <col min="8454" max="8454" width="10.36328125" style="1" bestFit="1" customWidth="1"/>
    <col min="8455" max="8455" width="5.453125" style="1" customWidth="1"/>
    <col min="8456" max="8704" width="9.1796875" style="1"/>
    <col min="8705" max="8705" width="2" style="1" customWidth="1"/>
    <col min="8706" max="8706" width="5.453125" style="1" bestFit="1" customWidth="1"/>
    <col min="8707" max="8707" width="18.453125" style="1" bestFit="1" customWidth="1"/>
    <col min="8708" max="8708" width="13" style="1" bestFit="1" customWidth="1"/>
    <col min="8709" max="8709" width="11" style="1" bestFit="1" customWidth="1"/>
    <col min="8710" max="8710" width="10.36328125" style="1" bestFit="1" customWidth="1"/>
    <col min="8711" max="8711" width="5.453125" style="1" customWidth="1"/>
    <col min="8712" max="8960" width="9.1796875" style="1"/>
    <col min="8961" max="8961" width="2" style="1" customWidth="1"/>
    <col min="8962" max="8962" width="5.453125" style="1" bestFit="1" customWidth="1"/>
    <col min="8963" max="8963" width="18.453125" style="1" bestFit="1" customWidth="1"/>
    <col min="8964" max="8964" width="13" style="1" bestFit="1" customWidth="1"/>
    <col min="8965" max="8965" width="11" style="1" bestFit="1" customWidth="1"/>
    <col min="8966" max="8966" width="10.36328125" style="1" bestFit="1" customWidth="1"/>
    <col min="8967" max="8967" width="5.453125" style="1" customWidth="1"/>
    <col min="8968" max="9216" width="9.1796875" style="1"/>
    <col min="9217" max="9217" width="2" style="1" customWidth="1"/>
    <col min="9218" max="9218" width="5.453125" style="1" bestFit="1" customWidth="1"/>
    <col min="9219" max="9219" width="18.453125" style="1" bestFit="1" customWidth="1"/>
    <col min="9220" max="9220" width="13" style="1" bestFit="1" customWidth="1"/>
    <col min="9221" max="9221" width="11" style="1" bestFit="1" customWidth="1"/>
    <col min="9222" max="9222" width="10.36328125" style="1" bestFit="1" customWidth="1"/>
    <col min="9223" max="9223" width="5.453125" style="1" customWidth="1"/>
    <col min="9224" max="9472" width="9.1796875" style="1"/>
    <col min="9473" max="9473" width="2" style="1" customWidth="1"/>
    <col min="9474" max="9474" width="5.453125" style="1" bestFit="1" customWidth="1"/>
    <col min="9475" max="9475" width="18.453125" style="1" bestFit="1" customWidth="1"/>
    <col min="9476" max="9476" width="13" style="1" bestFit="1" customWidth="1"/>
    <col min="9477" max="9477" width="11" style="1" bestFit="1" customWidth="1"/>
    <col min="9478" max="9478" width="10.36328125" style="1" bestFit="1" customWidth="1"/>
    <col min="9479" max="9479" width="5.453125" style="1" customWidth="1"/>
    <col min="9480" max="9728" width="9.1796875" style="1"/>
    <col min="9729" max="9729" width="2" style="1" customWidth="1"/>
    <col min="9730" max="9730" width="5.453125" style="1" bestFit="1" customWidth="1"/>
    <col min="9731" max="9731" width="18.453125" style="1" bestFit="1" customWidth="1"/>
    <col min="9732" max="9732" width="13" style="1" bestFit="1" customWidth="1"/>
    <col min="9733" max="9733" width="11" style="1" bestFit="1" customWidth="1"/>
    <col min="9734" max="9734" width="10.36328125" style="1" bestFit="1" customWidth="1"/>
    <col min="9735" max="9735" width="5.453125" style="1" customWidth="1"/>
    <col min="9736" max="9984" width="9.1796875" style="1"/>
    <col min="9985" max="9985" width="2" style="1" customWidth="1"/>
    <col min="9986" max="9986" width="5.453125" style="1" bestFit="1" customWidth="1"/>
    <col min="9987" max="9987" width="18.453125" style="1" bestFit="1" customWidth="1"/>
    <col min="9988" max="9988" width="13" style="1" bestFit="1" customWidth="1"/>
    <col min="9989" max="9989" width="11" style="1" bestFit="1" customWidth="1"/>
    <col min="9990" max="9990" width="10.36328125" style="1" bestFit="1" customWidth="1"/>
    <col min="9991" max="9991" width="5.453125" style="1" customWidth="1"/>
    <col min="9992" max="10240" width="9.1796875" style="1"/>
    <col min="10241" max="10241" width="2" style="1" customWidth="1"/>
    <col min="10242" max="10242" width="5.453125" style="1" bestFit="1" customWidth="1"/>
    <col min="10243" max="10243" width="18.453125" style="1" bestFit="1" customWidth="1"/>
    <col min="10244" max="10244" width="13" style="1" bestFit="1" customWidth="1"/>
    <col min="10245" max="10245" width="11" style="1" bestFit="1" customWidth="1"/>
    <col min="10246" max="10246" width="10.36328125" style="1" bestFit="1" customWidth="1"/>
    <col min="10247" max="10247" width="5.453125" style="1" customWidth="1"/>
    <col min="10248" max="10496" width="9.1796875" style="1"/>
    <col min="10497" max="10497" width="2" style="1" customWidth="1"/>
    <col min="10498" max="10498" width="5.453125" style="1" bestFit="1" customWidth="1"/>
    <col min="10499" max="10499" width="18.453125" style="1" bestFit="1" customWidth="1"/>
    <col min="10500" max="10500" width="13" style="1" bestFit="1" customWidth="1"/>
    <col min="10501" max="10501" width="11" style="1" bestFit="1" customWidth="1"/>
    <col min="10502" max="10502" width="10.36328125" style="1" bestFit="1" customWidth="1"/>
    <col min="10503" max="10503" width="5.453125" style="1" customWidth="1"/>
    <col min="10504" max="10752" width="9.1796875" style="1"/>
    <col min="10753" max="10753" width="2" style="1" customWidth="1"/>
    <col min="10754" max="10754" width="5.453125" style="1" bestFit="1" customWidth="1"/>
    <col min="10755" max="10755" width="18.453125" style="1" bestFit="1" customWidth="1"/>
    <col min="10756" max="10756" width="13" style="1" bestFit="1" customWidth="1"/>
    <col min="10757" max="10757" width="11" style="1" bestFit="1" customWidth="1"/>
    <col min="10758" max="10758" width="10.36328125" style="1" bestFit="1" customWidth="1"/>
    <col min="10759" max="10759" width="5.453125" style="1" customWidth="1"/>
    <col min="10760" max="11008" width="9.1796875" style="1"/>
    <col min="11009" max="11009" width="2" style="1" customWidth="1"/>
    <col min="11010" max="11010" width="5.453125" style="1" bestFit="1" customWidth="1"/>
    <col min="11011" max="11011" width="18.453125" style="1" bestFit="1" customWidth="1"/>
    <col min="11012" max="11012" width="13" style="1" bestFit="1" customWidth="1"/>
    <col min="11013" max="11013" width="11" style="1" bestFit="1" customWidth="1"/>
    <col min="11014" max="11014" width="10.36328125" style="1" bestFit="1" customWidth="1"/>
    <col min="11015" max="11015" width="5.453125" style="1" customWidth="1"/>
    <col min="11016" max="11264" width="9.1796875" style="1"/>
    <col min="11265" max="11265" width="2" style="1" customWidth="1"/>
    <col min="11266" max="11266" width="5.453125" style="1" bestFit="1" customWidth="1"/>
    <col min="11267" max="11267" width="18.453125" style="1" bestFit="1" customWidth="1"/>
    <col min="11268" max="11268" width="13" style="1" bestFit="1" customWidth="1"/>
    <col min="11269" max="11269" width="11" style="1" bestFit="1" customWidth="1"/>
    <col min="11270" max="11270" width="10.36328125" style="1" bestFit="1" customWidth="1"/>
    <col min="11271" max="11271" width="5.453125" style="1" customWidth="1"/>
    <col min="11272" max="11520" width="9.1796875" style="1"/>
    <col min="11521" max="11521" width="2" style="1" customWidth="1"/>
    <col min="11522" max="11522" width="5.453125" style="1" bestFit="1" customWidth="1"/>
    <col min="11523" max="11523" width="18.453125" style="1" bestFit="1" customWidth="1"/>
    <col min="11524" max="11524" width="13" style="1" bestFit="1" customWidth="1"/>
    <col min="11525" max="11525" width="11" style="1" bestFit="1" customWidth="1"/>
    <col min="11526" max="11526" width="10.36328125" style="1" bestFit="1" customWidth="1"/>
    <col min="11527" max="11527" width="5.453125" style="1" customWidth="1"/>
    <col min="11528" max="11776" width="9.1796875" style="1"/>
    <col min="11777" max="11777" width="2" style="1" customWidth="1"/>
    <col min="11778" max="11778" width="5.453125" style="1" bestFit="1" customWidth="1"/>
    <col min="11779" max="11779" width="18.453125" style="1" bestFit="1" customWidth="1"/>
    <col min="11780" max="11780" width="13" style="1" bestFit="1" customWidth="1"/>
    <col min="11781" max="11781" width="11" style="1" bestFit="1" customWidth="1"/>
    <col min="11782" max="11782" width="10.36328125" style="1" bestFit="1" customWidth="1"/>
    <col min="11783" max="11783" width="5.453125" style="1" customWidth="1"/>
    <col min="11784" max="12032" width="9.1796875" style="1"/>
    <col min="12033" max="12033" width="2" style="1" customWidth="1"/>
    <col min="12034" max="12034" width="5.453125" style="1" bestFit="1" customWidth="1"/>
    <col min="12035" max="12035" width="18.453125" style="1" bestFit="1" customWidth="1"/>
    <col min="12036" max="12036" width="13" style="1" bestFit="1" customWidth="1"/>
    <col min="12037" max="12037" width="11" style="1" bestFit="1" customWidth="1"/>
    <col min="12038" max="12038" width="10.36328125" style="1" bestFit="1" customWidth="1"/>
    <col min="12039" max="12039" width="5.453125" style="1" customWidth="1"/>
    <col min="12040" max="12288" width="9.1796875" style="1"/>
    <col min="12289" max="12289" width="2" style="1" customWidth="1"/>
    <col min="12290" max="12290" width="5.453125" style="1" bestFit="1" customWidth="1"/>
    <col min="12291" max="12291" width="18.453125" style="1" bestFit="1" customWidth="1"/>
    <col min="12292" max="12292" width="13" style="1" bestFit="1" customWidth="1"/>
    <col min="12293" max="12293" width="11" style="1" bestFit="1" customWidth="1"/>
    <col min="12294" max="12294" width="10.36328125" style="1" bestFit="1" customWidth="1"/>
    <col min="12295" max="12295" width="5.453125" style="1" customWidth="1"/>
    <col min="12296" max="12544" width="9.1796875" style="1"/>
    <col min="12545" max="12545" width="2" style="1" customWidth="1"/>
    <col min="12546" max="12546" width="5.453125" style="1" bestFit="1" customWidth="1"/>
    <col min="12547" max="12547" width="18.453125" style="1" bestFit="1" customWidth="1"/>
    <col min="12548" max="12548" width="13" style="1" bestFit="1" customWidth="1"/>
    <col min="12549" max="12549" width="11" style="1" bestFit="1" customWidth="1"/>
    <col min="12550" max="12550" width="10.36328125" style="1" bestFit="1" customWidth="1"/>
    <col min="12551" max="12551" width="5.453125" style="1" customWidth="1"/>
    <col min="12552" max="12800" width="9.1796875" style="1"/>
    <col min="12801" max="12801" width="2" style="1" customWidth="1"/>
    <col min="12802" max="12802" width="5.453125" style="1" bestFit="1" customWidth="1"/>
    <col min="12803" max="12803" width="18.453125" style="1" bestFit="1" customWidth="1"/>
    <col min="12804" max="12804" width="13" style="1" bestFit="1" customWidth="1"/>
    <col min="12805" max="12805" width="11" style="1" bestFit="1" customWidth="1"/>
    <col min="12806" max="12806" width="10.36328125" style="1" bestFit="1" customWidth="1"/>
    <col min="12807" max="12807" width="5.453125" style="1" customWidth="1"/>
    <col min="12808" max="13056" width="9.1796875" style="1"/>
    <col min="13057" max="13057" width="2" style="1" customWidth="1"/>
    <col min="13058" max="13058" width="5.453125" style="1" bestFit="1" customWidth="1"/>
    <col min="13059" max="13059" width="18.453125" style="1" bestFit="1" customWidth="1"/>
    <col min="13060" max="13060" width="13" style="1" bestFit="1" customWidth="1"/>
    <col min="13061" max="13061" width="11" style="1" bestFit="1" customWidth="1"/>
    <col min="13062" max="13062" width="10.36328125" style="1" bestFit="1" customWidth="1"/>
    <col min="13063" max="13063" width="5.453125" style="1" customWidth="1"/>
    <col min="13064" max="13312" width="9.1796875" style="1"/>
    <col min="13313" max="13313" width="2" style="1" customWidth="1"/>
    <col min="13314" max="13314" width="5.453125" style="1" bestFit="1" customWidth="1"/>
    <col min="13315" max="13315" width="18.453125" style="1" bestFit="1" customWidth="1"/>
    <col min="13316" max="13316" width="13" style="1" bestFit="1" customWidth="1"/>
    <col min="13317" max="13317" width="11" style="1" bestFit="1" customWidth="1"/>
    <col min="13318" max="13318" width="10.36328125" style="1" bestFit="1" customWidth="1"/>
    <col min="13319" max="13319" width="5.453125" style="1" customWidth="1"/>
    <col min="13320" max="13568" width="9.1796875" style="1"/>
    <col min="13569" max="13569" width="2" style="1" customWidth="1"/>
    <col min="13570" max="13570" width="5.453125" style="1" bestFit="1" customWidth="1"/>
    <col min="13571" max="13571" width="18.453125" style="1" bestFit="1" customWidth="1"/>
    <col min="13572" max="13572" width="13" style="1" bestFit="1" customWidth="1"/>
    <col min="13573" max="13573" width="11" style="1" bestFit="1" customWidth="1"/>
    <col min="13574" max="13574" width="10.36328125" style="1" bestFit="1" customWidth="1"/>
    <col min="13575" max="13575" width="5.453125" style="1" customWidth="1"/>
    <col min="13576" max="13824" width="9.1796875" style="1"/>
    <col min="13825" max="13825" width="2" style="1" customWidth="1"/>
    <col min="13826" max="13826" width="5.453125" style="1" bestFit="1" customWidth="1"/>
    <col min="13827" max="13827" width="18.453125" style="1" bestFit="1" customWidth="1"/>
    <col min="13828" max="13828" width="13" style="1" bestFit="1" customWidth="1"/>
    <col min="13829" max="13829" width="11" style="1" bestFit="1" customWidth="1"/>
    <col min="13830" max="13830" width="10.36328125" style="1" bestFit="1" customWidth="1"/>
    <col min="13831" max="13831" width="5.453125" style="1" customWidth="1"/>
    <col min="13832" max="14080" width="9.1796875" style="1"/>
    <col min="14081" max="14081" width="2" style="1" customWidth="1"/>
    <col min="14082" max="14082" width="5.453125" style="1" bestFit="1" customWidth="1"/>
    <col min="14083" max="14083" width="18.453125" style="1" bestFit="1" customWidth="1"/>
    <col min="14084" max="14084" width="13" style="1" bestFit="1" customWidth="1"/>
    <col min="14085" max="14085" width="11" style="1" bestFit="1" customWidth="1"/>
    <col min="14086" max="14086" width="10.36328125" style="1" bestFit="1" customWidth="1"/>
    <col min="14087" max="14087" width="5.453125" style="1" customWidth="1"/>
    <col min="14088" max="14336" width="9.1796875" style="1"/>
    <col min="14337" max="14337" width="2" style="1" customWidth="1"/>
    <col min="14338" max="14338" width="5.453125" style="1" bestFit="1" customWidth="1"/>
    <col min="14339" max="14339" width="18.453125" style="1" bestFit="1" customWidth="1"/>
    <col min="14340" max="14340" width="13" style="1" bestFit="1" customWidth="1"/>
    <col min="14341" max="14341" width="11" style="1" bestFit="1" customWidth="1"/>
    <col min="14342" max="14342" width="10.36328125" style="1" bestFit="1" customWidth="1"/>
    <col min="14343" max="14343" width="5.453125" style="1" customWidth="1"/>
    <col min="14344" max="14592" width="9.1796875" style="1"/>
    <col min="14593" max="14593" width="2" style="1" customWidth="1"/>
    <col min="14594" max="14594" width="5.453125" style="1" bestFit="1" customWidth="1"/>
    <col min="14595" max="14595" width="18.453125" style="1" bestFit="1" customWidth="1"/>
    <col min="14596" max="14596" width="13" style="1" bestFit="1" customWidth="1"/>
    <col min="14597" max="14597" width="11" style="1" bestFit="1" customWidth="1"/>
    <col min="14598" max="14598" width="10.36328125" style="1" bestFit="1" customWidth="1"/>
    <col min="14599" max="14599" width="5.453125" style="1" customWidth="1"/>
    <col min="14600" max="14848" width="9.1796875" style="1"/>
    <col min="14849" max="14849" width="2" style="1" customWidth="1"/>
    <col min="14850" max="14850" width="5.453125" style="1" bestFit="1" customWidth="1"/>
    <col min="14851" max="14851" width="18.453125" style="1" bestFit="1" customWidth="1"/>
    <col min="14852" max="14852" width="13" style="1" bestFit="1" customWidth="1"/>
    <col min="14853" max="14853" width="11" style="1" bestFit="1" customWidth="1"/>
    <col min="14854" max="14854" width="10.36328125" style="1" bestFit="1" customWidth="1"/>
    <col min="14855" max="14855" width="5.453125" style="1" customWidth="1"/>
    <col min="14856" max="15104" width="9.1796875" style="1"/>
    <col min="15105" max="15105" width="2" style="1" customWidth="1"/>
    <col min="15106" max="15106" width="5.453125" style="1" bestFit="1" customWidth="1"/>
    <col min="15107" max="15107" width="18.453125" style="1" bestFit="1" customWidth="1"/>
    <col min="15108" max="15108" width="13" style="1" bestFit="1" customWidth="1"/>
    <col min="15109" max="15109" width="11" style="1" bestFit="1" customWidth="1"/>
    <col min="15110" max="15110" width="10.36328125" style="1" bestFit="1" customWidth="1"/>
    <col min="15111" max="15111" width="5.453125" style="1" customWidth="1"/>
    <col min="15112" max="15360" width="9.1796875" style="1"/>
    <col min="15361" max="15361" width="2" style="1" customWidth="1"/>
    <col min="15362" max="15362" width="5.453125" style="1" bestFit="1" customWidth="1"/>
    <col min="15363" max="15363" width="18.453125" style="1" bestFit="1" customWidth="1"/>
    <col min="15364" max="15364" width="13" style="1" bestFit="1" customWidth="1"/>
    <col min="15365" max="15365" width="11" style="1" bestFit="1" customWidth="1"/>
    <col min="15366" max="15366" width="10.36328125" style="1" bestFit="1" customWidth="1"/>
    <col min="15367" max="15367" width="5.453125" style="1" customWidth="1"/>
    <col min="15368" max="15616" width="9.1796875" style="1"/>
    <col min="15617" max="15617" width="2" style="1" customWidth="1"/>
    <col min="15618" max="15618" width="5.453125" style="1" bestFit="1" customWidth="1"/>
    <col min="15619" max="15619" width="18.453125" style="1" bestFit="1" customWidth="1"/>
    <col min="15620" max="15620" width="13" style="1" bestFit="1" customWidth="1"/>
    <col min="15621" max="15621" width="11" style="1" bestFit="1" customWidth="1"/>
    <col min="15622" max="15622" width="10.36328125" style="1" bestFit="1" customWidth="1"/>
    <col min="15623" max="15623" width="5.453125" style="1" customWidth="1"/>
    <col min="15624" max="15872" width="9.1796875" style="1"/>
    <col min="15873" max="15873" width="2" style="1" customWidth="1"/>
    <col min="15874" max="15874" width="5.453125" style="1" bestFit="1" customWidth="1"/>
    <col min="15875" max="15875" width="18.453125" style="1" bestFit="1" customWidth="1"/>
    <col min="15876" max="15876" width="13" style="1" bestFit="1" customWidth="1"/>
    <col min="15877" max="15877" width="11" style="1" bestFit="1" customWidth="1"/>
    <col min="15878" max="15878" width="10.36328125" style="1" bestFit="1" customWidth="1"/>
    <col min="15879" max="15879" width="5.453125" style="1" customWidth="1"/>
    <col min="15880" max="16128" width="9.1796875" style="1"/>
    <col min="16129" max="16129" width="2" style="1" customWidth="1"/>
    <col min="16130" max="16130" width="5.453125" style="1" bestFit="1" customWidth="1"/>
    <col min="16131" max="16131" width="18.453125" style="1" bestFit="1" customWidth="1"/>
    <col min="16132" max="16132" width="13" style="1" bestFit="1" customWidth="1"/>
    <col min="16133" max="16133" width="11" style="1" bestFit="1" customWidth="1"/>
    <col min="16134" max="16134" width="10.36328125" style="1" bestFit="1" customWidth="1"/>
    <col min="16135" max="16135" width="5.453125" style="1" customWidth="1"/>
    <col min="16136" max="16384" width="9.1796875" style="1"/>
  </cols>
  <sheetData>
    <row r="1" spans="1:5">
      <c r="A1" s="5" t="s">
        <v>24</v>
      </c>
    </row>
    <row r="2" spans="1:5">
      <c r="A2" s="5" t="s">
        <v>25</v>
      </c>
    </row>
    <row r="3" spans="1:5">
      <c r="A3" s="5" t="s">
        <v>26</v>
      </c>
    </row>
    <row r="6" spans="1:5" ht="13.5" thickBot="1">
      <c r="A6" s="1" t="s">
        <v>27</v>
      </c>
    </row>
    <row r="7" spans="1:5" ht="13.5" thickBot="1">
      <c r="B7" s="14" t="s">
        <v>28</v>
      </c>
      <c r="C7" s="14" t="s">
        <v>29</v>
      </c>
      <c r="D7" s="14" t="s">
        <v>30</v>
      </c>
      <c r="E7" s="14" t="s">
        <v>31</v>
      </c>
    </row>
    <row r="8" spans="1:5" ht="13.5" thickBot="1">
      <c r="B8" s="15" t="s">
        <v>32</v>
      </c>
      <c r="C8" s="15" t="s">
        <v>23</v>
      </c>
      <c r="D8" s="15">
        <v>17360</v>
      </c>
      <c r="E8" s="15">
        <v>30560</v>
      </c>
    </row>
    <row r="11" spans="1:5" ht="13.5" thickBot="1">
      <c r="A11" s="1" t="s">
        <v>33</v>
      </c>
    </row>
    <row r="12" spans="1:5" ht="13.5" thickBot="1">
      <c r="B12" s="14" t="s">
        <v>28</v>
      </c>
      <c r="C12" s="14" t="s">
        <v>29</v>
      </c>
      <c r="D12" s="14" t="s">
        <v>30</v>
      </c>
      <c r="E12" s="14" t="s">
        <v>31</v>
      </c>
    </row>
    <row r="13" spans="1:5">
      <c r="B13" s="16" t="s">
        <v>34</v>
      </c>
      <c r="C13" s="16" t="s">
        <v>1</v>
      </c>
      <c r="D13" s="16">
        <v>10</v>
      </c>
      <c r="E13" s="16">
        <v>10</v>
      </c>
    </row>
    <row r="14" spans="1:5">
      <c r="B14" s="16" t="s">
        <v>35</v>
      </c>
      <c r="C14" s="16" t="s">
        <v>2</v>
      </c>
      <c r="D14" s="16">
        <v>6</v>
      </c>
      <c r="E14" s="16">
        <v>7</v>
      </c>
    </row>
    <row r="15" spans="1:5" ht="13.5" thickBot="1">
      <c r="B15" s="15" t="s">
        <v>36</v>
      </c>
      <c r="C15" s="15" t="s">
        <v>3</v>
      </c>
      <c r="D15" s="15">
        <v>2</v>
      </c>
      <c r="E15" s="15">
        <v>4</v>
      </c>
    </row>
    <row r="18" spans="1:7" ht="13.5" thickBot="1">
      <c r="A18" s="1" t="s">
        <v>37</v>
      </c>
    </row>
    <row r="19" spans="1:7" ht="13.5" thickBot="1">
      <c r="B19" s="14" t="s">
        <v>28</v>
      </c>
      <c r="C19" s="14" t="s">
        <v>29</v>
      </c>
      <c r="D19" s="14" t="s">
        <v>38</v>
      </c>
      <c r="E19" s="14" t="s">
        <v>39</v>
      </c>
      <c r="F19" s="14" t="s">
        <v>40</v>
      </c>
      <c r="G19" s="14" t="s">
        <v>41</v>
      </c>
    </row>
    <row r="20" spans="1:7">
      <c r="B20" s="16" t="s">
        <v>34</v>
      </c>
      <c r="C20" s="16" t="s">
        <v>1</v>
      </c>
      <c r="D20" s="16">
        <v>10</v>
      </c>
      <c r="E20" s="16" t="s">
        <v>42</v>
      </c>
      <c r="F20" s="16" t="s">
        <v>43</v>
      </c>
      <c r="G20" s="16">
        <v>10</v>
      </c>
    </row>
    <row r="21" spans="1:7">
      <c r="B21" s="16" t="s">
        <v>35</v>
      </c>
      <c r="C21" s="16" t="s">
        <v>2</v>
      </c>
      <c r="D21" s="16">
        <v>7</v>
      </c>
      <c r="E21" s="16" t="s">
        <v>44</v>
      </c>
      <c r="F21" s="16" t="s">
        <v>43</v>
      </c>
      <c r="G21" s="16">
        <v>7</v>
      </c>
    </row>
    <row r="22" spans="1:7">
      <c r="B22" s="16" t="s">
        <v>36</v>
      </c>
      <c r="C22" s="16" t="s">
        <v>3</v>
      </c>
      <c r="D22" s="16">
        <v>4</v>
      </c>
      <c r="E22" s="16" t="s">
        <v>45</v>
      </c>
      <c r="F22" s="16" t="s">
        <v>43</v>
      </c>
      <c r="G22" s="16">
        <v>4</v>
      </c>
    </row>
    <row r="23" spans="1:7">
      <c r="B23" s="16" t="s">
        <v>34</v>
      </c>
      <c r="C23" s="16" t="s">
        <v>1</v>
      </c>
      <c r="D23" s="16">
        <v>10</v>
      </c>
      <c r="E23" s="16" t="s">
        <v>46</v>
      </c>
      <c r="F23" s="16" t="s">
        <v>47</v>
      </c>
      <c r="G23" s="16">
        <v>0</v>
      </c>
    </row>
    <row r="24" spans="1:7">
      <c r="B24" s="16" t="s">
        <v>35</v>
      </c>
      <c r="C24" s="16" t="s">
        <v>2</v>
      </c>
      <c r="D24" s="16">
        <v>7</v>
      </c>
      <c r="E24" s="16" t="s">
        <v>48</v>
      </c>
      <c r="F24" s="16" t="s">
        <v>47</v>
      </c>
      <c r="G24" s="16">
        <v>0</v>
      </c>
    </row>
    <row r="25" spans="1:7" ht="13.5" thickBot="1">
      <c r="B25" s="15" t="s">
        <v>36</v>
      </c>
      <c r="C25" s="15" t="s">
        <v>3</v>
      </c>
      <c r="D25" s="15">
        <v>4</v>
      </c>
      <c r="E25" s="15" t="s">
        <v>49</v>
      </c>
      <c r="F25" s="15" t="s">
        <v>47</v>
      </c>
      <c r="G25" s="15">
        <v>0</v>
      </c>
    </row>
  </sheetData>
  <pageMargins left="0.75" right="0.75" top="1" bottom="1" header="0.5" footer="0.5"/>
  <pageSetup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E34"/>
  <sheetViews>
    <sheetView workbookViewId="0"/>
  </sheetViews>
  <sheetFormatPr defaultColWidth="8.81640625" defaultRowHeight="13"/>
  <cols>
    <col min="1" max="1" width="28" style="1" bestFit="1" customWidth="1"/>
    <col min="2" max="256" width="9.1796875" style="1"/>
    <col min="257" max="257" width="28" style="1" bestFit="1" customWidth="1"/>
    <col min="258" max="512" width="9.1796875" style="1"/>
    <col min="513" max="513" width="28" style="1" bestFit="1" customWidth="1"/>
    <col min="514" max="768" width="9.1796875" style="1"/>
    <col min="769" max="769" width="28" style="1" bestFit="1" customWidth="1"/>
    <col min="770" max="1024" width="9.1796875" style="1"/>
    <col min="1025" max="1025" width="28" style="1" bestFit="1" customWidth="1"/>
    <col min="1026" max="1280" width="9.1796875" style="1"/>
    <col min="1281" max="1281" width="28" style="1" bestFit="1" customWidth="1"/>
    <col min="1282" max="1536" width="9.1796875" style="1"/>
    <col min="1537" max="1537" width="28" style="1" bestFit="1" customWidth="1"/>
    <col min="1538" max="1792" width="9.1796875" style="1"/>
    <col min="1793" max="1793" width="28" style="1" bestFit="1" customWidth="1"/>
    <col min="1794" max="2048" width="9.1796875" style="1"/>
    <col min="2049" max="2049" width="28" style="1" bestFit="1" customWidth="1"/>
    <col min="2050" max="2304" width="9.1796875" style="1"/>
    <col min="2305" max="2305" width="28" style="1" bestFit="1" customWidth="1"/>
    <col min="2306" max="2560" width="9.1796875" style="1"/>
    <col min="2561" max="2561" width="28" style="1" bestFit="1" customWidth="1"/>
    <col min="2562" max="2816" width="9.1796875" style="1"/>
    <col min="2817" max="2817" width="28" style="1" bestFit="1" customWidth="1"/>
    <col min="2818" max="3072" width="9.1796875" style="1"/>
    <col min="3073" max="3073" width="28" style="1" bestFit="1" customWidth="1"/>
    <col min="3074" max="3328" width="9.1796875" style="1"/>
    <col min="3329" max="3329" width="28" style="1" bestFit="1" customWidth="1"/>
    <col min="3330" max="3584" width="9.1796875" style="1"/>
    <col min="3585" max="3585" width="28" style="1" bestFit="1" customWidth="1"/>
    <col min="3586" max="3840" width="9.1796875" style="1"/>
    <col min="3841" max="3841" width="28" style="1" bestFit="1" customWidth="1"/>
    <col min="3842" max="4096" width="9.1796875" style="1"/>
    <col min="4097" max="4097" width="28" style="1" bestFit="1" customWidth="1"/>
    <col min="4098" max="4352" width="9.1796875" style="1"/>
    <col min="4353" max="4353" width="28" style="1" bestFit="1" customWidth="1"/>
    <col min="4354" max="4608" width="9.1796875" style="1"/>
    <col min="4609" max="4609" width="28" style="1" bestFit="1" customWidth="1"/>
    <col min="4610" max="4864" width="9.1796875" style="1"/>
    <col min="4865" max="4865" width="28" style="1" bestFit="1" customWidth="1"/>
    <col min="4866" max="5120" width="9.1796875" style="1"/>
    <col min="5121" max="5121" width="28" style="1" bestFit="1" customWidth="1"/>
    <col min="5122" max="5376" width="9.1796875" style="1"/>
    <col min="5377" max="5377" width="28" style="1" bestFit="1" customWidth="1"/>
    <col min="5378" max="5632" width="9.1796875" style="1"/>
    <col min="5633" max="5633" width="28" style="1" bestFit="1" customWidth="1"/>
    <col min="5634" max="5888" width="9.1796875" style="1"/>
    <col min="5889" max="5889" width="28" style="1" bestFit="1" customWidth="1"/>
    <col min="5890" max="6144" width="9.1796875" style="1"/>
    <col min="6145" max="6145" width="28" style="1" bestFit="1" customWidth="1"/>
    <col min="6146" max="6400" width="9.1796875" style="1"/>
    <col min="6401" max="6401" width="28" style="1" bestFit="1" customWidth="1"/>
    <col min="6402" max="6656" width="9.1796875" style="1"/>
    <col min="6657" max="6657" width="28" style="1" bestFit="1" customWidth="1"/>
    <col min="6658" max="6912" width="9.1796875" style="1"/>
    <col min="6913" max="6913" width="28" style="1" bestFit="1" customWidth="1"/>
    <col min="6914" max="7168" width="9.1796875" style="1"/>
    <col min="7169" max="7169" width="28" style="1" bestFit="1" customWidth="1"/>
    <col min="7170" max="7424" width="9.1796875" style="1"/>
    <col min="7425" max="7425" width="28" style="1" bestFit="1" customWidth="1"/>
    <col min="7426" max="7680" width="9.1796875" style="1"/>
    <col min="7681" max="7681" width="28" style="1" bestFit="1" customWidth="1"/>
    <col min="7682" max="7936" width="9.1796875" style="1"/>
    <col min="7937" max="7937" width="28" style="1" bestFit="1" customWidth="1"/>
    <col min="7938" max="8192" width="9.1796875" style="1"/>
    <col min="8193" max="8193" width="28" style="1" bestFit="1" customWidth="1"/>
    <col min="8194" max="8448" width="9.1796875" style="1"/>
    <col min="8449" max="8449" width="28" style="1" bestFit="1" customWidth="1"/>
    <col min="8450" max="8704" width="9.1796875" style="1"/>
    <col min="8705" max="8705" width="28" style="1" bestFit="1" customWidth="1"/>
    <col min="8706" max="8960" width="9.1796875" style="1"/>
    <col min="8961" max="8961" width="28" style="1" bestFit="1" customWidth="1"/>
    <col min="8962" max="9216" width="9.1796875" style="1"/>
    <col min="9217" max="9217" width="28" style="1" bestFit="1" customWidth="1"/>
    <col min="9218" max="9472" width="9.1796875" style="1"/>
    <col min="9473" max="9473" width="28" style="1" bestFit="1" customWidth="1"/>
    <col min="9474" max="9728" width="9.1796875" style="1"/>
    <col min="9729" max="9729" width="28" style="1" bestFit="1" customWidth="1"/>
    <col min="9730" max="9984" width="9.1796875" style="1"/>
    <col min="9985" max="9985" width="28" style="1" bestFit="1" customWidth="1"/>
    <col min="9986" max="10240" width="9.1796875" style="1"/>
    <col min="10241" max="10241" width="28" style="1" bestFit="1" customWidth="1"/>
    <col min="10242" max="10496" width="9.1796875" style="1"/>
    <col min="10497" max="10497" width="28" style="1" bestFit="1" customWidth="1"/>
    <col min="10498" max="10752" width="9.1796875" style="1"/>
    <col min="10753" max="10753" width="28" style="1" bestFit="1" customWidth="1"/>
    <col min="10754" max="11008" width="9.1796875" style="1"/>
    <col min="11009" max="11009" width="28" style="1" bestFit="1" customWidth="1"/>
    <col min="11010" max="11264" width="9.1796875" style="1"/>
    <col min="11265" max="11265" width="28" style="1" bestFit="1" customWidth="1"/>
    <col min="11266" max="11520" width="9.1796875" style="1"/>
    <col min="11521" max="11521" width="28" style="1" bestFit="1" customWidth="1"/>
    <col min="11522" max="11776" width="9.1796875" style="1"/>
    <col min="11777" max="11777" width="28" style="1" bestFit="1" customWidth="1"/>
    <col min="11778" max="12032" width="9.1796875" style="1"/>
    <col min="12033" max="12033" width="28" style="1" bestFit="1" customWidth="1"/>
    <col min="12034" max="12288" width="9.1796875" style="1"/>
    <col min="12289" max="12289" width="28" style="1" bestFit="1" customWidth="1"/>
    <col min="12290" max="12544" width="9.1796875" style="1"/>
    <col min="12545" max="12545" width="28" style="1" bestFit="1" customWidth="1"/>
    <col min="12546" max="12800" width="9.1796875" style="1"/>
    <col min="12801" max="12801" width="28" style="1" bestFit="1" customWidth="1"/>
    <col min="12802" max="13056" width="9.1796875" style="1"/>
    <col min="13057" max="13057" width="28" style="1" bestFit="1" customWidth="1"/>
    <col min="13058" max="13312" width="9.1796875" style="1"/>
    <col min="13313" max="13313" width="28" style="1" bestFit="1" customWidth="1"/>
    <col min="13314" max="13568" width="9.1796875" style="1"/>
    <col min="13569" max="13569" width="28" style="1" bestFit="1" customWidth="1"/>
    <col min="13570" max="13824" width="9.1796875" style="1"/>
    <col min="13825" max="13825" width="28" style="1" bestFit="1" customWidth="1"/>
    <col min="13826" max="14080" width="9.1796875" style="1"/>
    <col min="14081" max="14081" width="28" style="1" bestFit="1" customWidth="1"/>
    <col min="14082" max="14336" width="9.1796875" style="1"/>
    <col min="14337" max="14337" width="28" style="1" bestFit="1" customWidth="1"/>
    <col min="14338" max="14592" width="9.1796875" style="1"/>
    <col min="14593" max="14593" width="28" style="1" bestFit="1" customWidth="1"/>
    <col min="14594" max="14848" width="9.1796875" style="1"/>
    <col min="14849" max="14849" width="28" style="1" bestFit="1" customWidth="1"/>
    <col min="14850" max="15104" width="9.1796875" style="1"/>
    <col min="15105" max="15105" width="28" style="1" bestFit="1" customWidth="1"/>
    <col min="15106" max="15360" width="9.1796875" style="1"/>
    <col min="15361" max="15361" width="28" style="1" bestFit="1" customWidth="1"/>
    <col min="15362" max="15616" width="9.1796875" style="1"/>
    <col min="15617" max="15617" width="28" style="1" bestFit="1" customWidth="1"/>
    <col min="15618" max="15872" width="9.1796875" style="1"/>
    <col min="15873" max="15873" width="28" style="1" bestFit="1" customWidth="1"/>
    <col min="15874" max="16128" width="9.1796875" style="1"/>
    <col min="16129" max="16129" width="28" style="1" bestFit="1" customWidth="1"/>
    <col min="16130" max="16384" width="9.1796875" style="1"/>
  </cols>
  <sheetData>
    <row r="1" spans="1:2" ht="15">
      <c r="A1" s="2" t="s">
        <v>0</v>
      </c>
    </row>
    <row r="2" spans="1:2">
      <c r="A2" s="1" t="s">
        <v>1</v>
      </c>
      <c r="B2" s="3">
        <v>10</v>
      </c>
    </row>
    <row r="3" spans="1:2">
      <c r="A3" s="4" t="s">
        <v>2</v>
      </c>
      <c r="B3" s="3">
        <v>7</v>
      </c>
    </row>
    <row r="4" spans="1:2">
      <c r="A4" s="1" t="s">
        <v>3</v>
      </c>
      <c r="B4" s="3">
        <v>4</v>
      </c>
    </row>
    <row r="5" spans="1:2">
      <c r="A5" s="4" t="s">
        <v>4</v>
      </c>
      <c r="B5" s="1">
        <v>20</v>
      </c>
    </row>
    <row r="6" spans="1:2">
      <c r="A6" s="5" t="s">
        <v>5</v>
      </c>
    </row>
    <row r="7" spans="1:2">
      <c r="A7" s="1" t="s">
        <v>6</v>
      </c>
      <c r="B7" s="1">
        <v>30</v>
      </c>
    </row>
    <row r="8" spans="1:2">
      <c r="A8" s="1" t="s">
        <v>7</v>
      </c>
      <c r="B8" s="1">
        <v>20</v>
      </c>
    </row>
    <row r="9" spans="1:2">
      <c r="A9" s="1" t="s">
        <v>8</v>
      </c>
      <c r="B9" s="1">
        <v>10</v>
      </c>
    </row>
    <row r="10" spans="1:2">
      <c r="A10" s="1" t="s">
        <v>9</v>
      </c>
      <c r="B10" s="1">
        <v>60</v>
      </c>
    </row>
    <row r="11" spans="1:2">
      <c r="A11" s="6" t="s">
        <v>10</v>
      </c>
    </row>
    <row r="12" spans="1:2">
      <c r="A12" s="1" t="s">
        <v>11</v>
      </c>
      <c r="B12" s="1">
        <f>B2*8*60</f>
        <v>4800</v>
      </c>
    </row>
    <row r="13" spans="1:2">
      <c r="A13" s="1" t="s">
        <v>12</v>
      </c>
      <c r="B13" s="1">
        <f>B3*8*60</f>
        <v>3360</v>
      </c>
    </row>
    <row r="14" spans="1:2">
      <c r="A14" s="1" t="s">
        <v>13</v>
      </c>
      <c r="B14" s="1">
        <f>B4*8*60</f>
        <v>1920</v>
      </c>
    </row>
    <row r="15" spans="1:2">
      <c r="A15" s="1" t="s">
        <v>14</v>
      </c>
      <c r="B15" s="1">
        <f>B5*8*60</f>
        <v>9600</v>
      </c>
    </row>
    <row r="16" spans="1:2">
      <c r="A16" s="5" t="s">
        <v>15</v>
      </c>
    </row>
    <row r="17" spans="1:5">
      <c r="A17" s="1" t="s">
        <v>11</v>
      </c>
      <c r="B17" s="1">
        <f>+B12/B7</f>
        <v>160</v>
      </c>
    </row>
    <row r="18" spans="1:5">
      <c r="A18" s="1" t="s">
        <v>12</v>
      </c>
      <c r="B18" s="1">
        <f>+B13/B8</f>
        <v>168</v>
      </c>
    </row>
    <row r="19" spans="1:5">
      <c r="A19" s="1" t="s">
        <v>13</v>
      </c>
      <c r="B19" s="1">
        <f>+B14/B9</f>
        <v>192</v>
      </c>
    </row>
    <row r="20" spans="1:5">
      <c r="A20" s="1" t="s">
        <v>14</v>
      </c>
      <c r="B20" s="1">
        <f>+B15/B10</f>
        <v>160</v>
      </c>
    </row>
    <row r="21" spans="1:5">
      <c r="A21" s="4" t="s">
        <v>16</v>
      </c>
      <c r="B21" s="1">
        <f>MIN(B17:B20)</f>
        <v>160</v>
      </c>
    </row>
    <row r="22" spans="1:5">
      <c r="A22" s="7" t="s">
        <v>17</v>
      </c>
      <c r="B22" s="1">
        <v>225</v>
      </c>
    </row>
    <row r="23" spans="1:5">
      <c r="A23" s="8" t="s">
        <v>18</v>
      </c>
      <c r="B23" s="5">
        <f>+B22*B21</f>
        <v>36000</v>
      </c>
    </row>
    <row r="24" spans="1:5">
      <c r="A24" s="9" t="s">
        <v>19</v>
      </c>
      <c r="B24" s="10">
        <f>23*8*B2</f>
        <v>1840</v>
      </c>
    </row>
    <row r="25" spans="1:5">
      <c r="A25" s="9" t="s">
        <v>20</v>
      </c>
      <c r="B25" s="10">
        <f>+B3*30*8</f>
        <v>1680</v>
      </c>
    </row>
    <row r="26" spans="1:5">
      <c r="A26" s="9" t="s">
        <v>21</v>
      </c>
      <c r="B26" s="10">
        <f>60*8*B4</f>
        <v>1920</v>
      </c>
    </row>
    <row r="27" spans="1:5">
      <c r="A27" s="8" t="s">
        <v>22</v>
      </c>
      <c r="B27" s="5">
        <f>SUM(B24:B26)</f>
        <v>5440</v>
      </c>
    </row>
    <row r="28" spans="1:5">
      <c r="A28" s="8" t="s">
        <v>23</v>
      </c>
      <c r="B28" s="5">
        <f>+B23-B27</f>
        <v>30560</v>
      </c>
    </row>
    <row r="29" spans="1:5">
      <c r="B29" s="11"/>
      <c r="C29" s="11"/>
      <c r="D29" s="11"/>
      <c r="E29" s="11"/>
    </row>
    <row r="30" spans="1:5">
      <c r="D30" s="12"/>
      <c r="E30" s="12"/>
    </row>
    <row r="31" spans="1:5">
      <c r="D31" s="12"/>
      <c r="E31" s="12"/>
    </row>
    <row r="32" spans="1:5">
      <c r="D32" s="12"/>
      <c r="E32" s="12"/>
    </row>
    <row r="33" spans="4:5">
      <c r="D33" s="12"/>
      <c r="E33" s="12"/>
    </row>
    <row r="34" spans="4:5">
      <c r="D34" s="13"/>
      <c r="E34" s="12"/>
    </row>
  </sheetData>
  <scenarios current="1" show="1">
    <scenario name="Optimized" count="3" user="PHB" comment="Created by PHB on 3/2/2006">
      <inputCells r="B2" val="10"/>
      <inputCells r="B3" val="7"/>
      <inputCells r="B4" val="4"/>
    </scenario>
    <scenario name="Original" locked="1" count="3" user="PHB" comment="Created by PHB on 3/2/2006">
      <inputCells r="B2" val="10"/>
      <inputCells r="B3" val="6"/>
      <inputCells r="B4" val="2"/>
    </scenario>
  </scenarios>
  <pageMargins left="0.75" right="0.75" top="1" bottom="1" header="0.5" footer="0.5"/>
  <pageSetup orientation="portrait" horizontalDpi="0" verticalDpi="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2009-08-05T23:00:39Z</outs:dateTime>
      <outs:isPinned>true</outs:isPinned>
    </outs:relatedDate>
    <outs:relatedDate>
      <outs:type>2</outs:type>
      <outs:displayName>Created</outs:displayName>
      <outs:dateTime>2006-03-01T22:07:34Z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Bill Jelen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C80EC48-43F9-4037-8733-7A0B37D93AD4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Intro</vt:lpstr>
      <vt:lpstr>Figure 38</vt:lpstr>
      <vt:lpstr>Figure 39</vt:lpstr>
      <vt:lpstr>Figure 40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Spencer Griffin</cp:lastModifiedBy>
  <dcterms:created xsi:type="dcterms:W3CDTF">2006-03-01T22:07:34Z</dcterms:created>
  <dcterms:modified xsi:type="dcterms:W3CDTF">2022-09-25T12:30:52Z</dcterms:modified>
</cp:coreProperties>
</file>